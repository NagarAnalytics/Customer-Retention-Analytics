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EHA NAGAR\Downloads\"/>
    </mc:Choice>
  </mc:AlternateContent>
  <xr:revisionPtr revIDLastSave="0" documentId="13_ncr:1_{7241F1CA-C7CF-4C4D-8814-5470E8E01A00}" xr6:coauthVersionLast="47" xr6:coauthVersionMax="47" xr10:uidLastSave="{00000000-0000-0000-0000-000000000000}"/>
  <bookViews>
    <workbookView xWindow="-120" yWindow="-120" windowWidth="20730" windowHeight="11160" xr2:uid="{FFDBB558-C7FE-4EBD-BC83-0481F20D4BE2}"/>
  </bookViews>
  <sheets>
    <sheet name=" Data" sheetId="1" r:id="rId1"/>
    <sheet name="Dashboard_Calc" sheetId="2" r:id="rId2"/>
    <sheet name="Executive Dashboard" sheetId="4" r:id="rId3"/>
  </sheets>
  <definedNames>
    <definedName name="Slicer_Customer_Tier1">#N/A</definedName>
    <definedName name="Slicer_Issue_Category1">#N/A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alcChain>
</file>

<file path=xl/sharedStrings.xml><?xml version="1.0" encoding="utf-8"?>
<sst xmlns="http://schemas.openxmlformats.org/spreadsheetml/2006/main" count="321" uniqueCount="122">
  <si>
    <t>Ticket_ID</t>
  </si>
  <si>
    <t>Customer_Tier</t>
  </si>
  <si>
    <t>Issue_Category</t>
  </si>
  <si>
    <t>Resolution_Hours</t>
  </si>
  <si>
    <t>CSAT_Score</t>
  </si>
  <si>
    <t>Monthly_Value</t>
  </si>
  <si>
    <t>TS-1001</t>
  </si>
  <si>
    <t>TS-1002</t>
  </si>
  <si>
    <t>TS-1003</t>
  </si>
  <si>
    <t>TS-1004</t>
  </si>
  <si>
    <t>TS-1005</t>
  </si>
  <si>
    <t>TS-1006</t>
  </si>
  <si>
    <t>TS-1007</t>
  </si>
  <si>
    <t>TS-1008</t>
  </si>
  <si>
    <t>TS-1009</t>
  </si>
  <si>
    <t>TS-1010</t>
  </si>
  <si>
    <t>TS-1011</t>
  </si>
  <si>
    <t>TS-1012</t>
  </si>
  <si>
    <t>TS-1013</t>
  </si>
  <si>
    <t>TS-1014</t>
  </si>
  <si>
    <t>TS-1015</t>
  </si>
  <si>
    <t>TS-1016</t>
  </si>
  <si>
    <t>TS-1017</t>
  </si>
  <si>
    <t>TS-1018</t>
  </si>
  <si>
    <t>TS-1019</t>
  </si>
  <si>
    <t>TS-1020</t>
  </si>
  <si>
    <t>TS-1021</t>
  </si>
  <si>
    <t>TS-1022</t>
  </si>
  <si>
    <t>TS-1023</t>
  </si>
  <si>
    <t>TS-1024</t>
  </si>
  <si>
    <t>TS-1025</t>
  </si>
  <si>
    <t>TS-1026</t>
  </si>
  <si>
    <t>TS-1027</t>
  </si>
  <si>
    <t>TS-1028</t>
  </si>
  <si>
    <t>TS-1029</t>
  </si>
  <si>
    <t>TS-1030</t>
  </si>
  <si>
    <t>TS-1031</t>
  </si>
  <si>
    <t>TS-1032</t>
  </si>
  <si>
    <t>TS-1033</t>
  </si>
  <si>
    <t>TS-1034</t>
  </si>
  <si>
    <t>TS-1035</t>
  </si>
  <si>
    <t>TS-1036</t>
  </si>
  <si>
    <t>TS-1037</t>
  </si>
  <si>
    <t>TS-1038</t>
  </si>
  <si>
    <t>TS-1039</t>
  </si>
  <si>
    <t>TS-1040</t>
  </si>
  <si>
    <t>TS-1041</t>
  </si>
  <si>
    <t>TS-1042</t>
  </si>
  <si>
    <t>TS-1043</t>
  </si>
  <si>
    <t>TS-1044</t>
  </si>
  <si>
    <t>TS-1045</t>
  </si>
  <si>
    <t>TS-1046</t>
  </si>
  <si>
    <t>TS-1047</t>
  </si>
  <si>
    <t>TS-1048</t>
  </si>
  <si>
    <t>TS-1049</t>
  </si>
  <si>
    <t>TS-1050</t>
  </si>
  <si>
    <t>TS-1051</t>
  </si>
  <si>
    <t>TS-1052</t>
  </si>
  <si>
    <t>TS-1053</t>
  </si>
  <si>
    <t>TS-1054</t>
  </si>
  <si>
    <t>TS-1055</t>
  </si>
  <si>
    <t>TS-1056</t>
  </si>
  <si>
    <t>TS-1057</t>
  </si>
  <si>
    <t>TS-1058</t>
  </si>
  <si>
    <t>TS-1059</t>
  </si>
  <si>
    <t>TS-1060</t>
  </si>
  <si>
    <t>TS-1061</t>
  </si>
  <si>
    <t>TS-1062</t>
  </si>
  <si>
    <t>TS-1063</t>
  </si>
  <si>
    <t>TS-1064</t>
  </si>
  <si>
    <t>TS-1065</t>
  </si>
  <si>
    <t>TS-1066</t>
  </si>
  <si>
    <t>TS-1067</t>
  </si>
  <si>
    <t>TS-1068</t>
  </si>
  <si>
    <t>TS-1069</t>
  </si>
  <si>
    <t>TS-1070</t>
  </si>
  <si>
    <t>TS-1071</t>
  </si>
  <si>
    <t>TS-1072</t>
  </si>
  <si>
    <t>TS-1073</t>
  </si>
  <si>
    <t>TS-1074</t>
  </si>
  <si>
    <t>TS-1075</t>
  </si>
  <si>
    <t>TS-1076</t>
  </si>
  <si>
    <t>TS-1077</t>
  </si>
  <si>
    <t>TS-1078</t>
  </si>
  <si>
    <t>TS-1079</t>
  </si>
  <si>
    <t>TS-1080</t>
  </si>
  <si>
    <t>TS-1081</t>
  </si>
  <si>
    <t>TS-1082</t>
  </si>
  <si>
    <t>TS-1083</t>
  </si>
  <si>
    <t>TS-1084</t>
  </si>
  <si>
    <t>TS-1085</t>
  </si>
  <si>
    <t>TS-1086</t>
  </si>
  <si>
    <t>TS-1087</t>
  </si>
  <si>
    <t>TS-1088</t>
  </si>
  <si>
    <t>TS-1089</t>
  </si>
  <si>
    <t>TS-1090</t>
  </si>
  <si>
    <t>TS-1091</t>
  </si>
  <si>
    <t>TS-1092</t>
  </si>
  <si>
    <t>TS-1093</t>
  </si>
  <si>
    <t>TS-1094</t>
  </si>
  <si>
    <t>TS-1095</t>
  </si>
  <si>
    <t>TS-1096</t>
  </si>
  <si>
    <t>TS-1097</t>
  </si>
  <si>
    <t>TS-1098</t>
  </si>
  <si>
    <t>TS-1099</t>
  </si>
  <si>
    <t>TS-1100</t>
  </si>
  <si>
    <t>Churn_Risk</t>
  </si>
  <si>
    <t>Row Labels</t>
  </si>
  <si>
    <t>Low Risk</t>
  </si>
  <si>
    <t>Medium Risk</t>
  </si>
  <si>
    <t>Grand Total</t>
  </si>
  <si>
    <t>Sum of Monthly_Value</t>
  </si>
  <si>
    <t>Average of Resolution_Hours</t>
  </si>
  <si>
    <t>Technical</t>
  </si>
  <si>
    <t>Silver</t>
  </si>
  <si>
    <t>Platinum</t>
  </si>
  <si>
    <t>Gold</t>
  </si>
  <si>
    <t>Feature</t>
  </si>
  <si>
    <t>Billing</t>
  </si>
  <si>
    <t>Login</t>
  </si>
  <si>
    <t>High Risk</t>
  </si>
  <si>
    <t>Priority_Score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</si>
</sst>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[excelGPT.xlsx]Dashboard_Calc!PivotTable3</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Revenue at Risk by Category</a:t>
            </a:r>
            <a:endParaRPr lang="en-IN"/>
          </a:p>
        </c:rich>
      </c:tx>
      <c:layout>
        <c:manualLayout>
          <c:xMode val="edge"/>
          <c:yMode val="edge"/>
          <c:x val="0.19874999999999998"/>
          <c:y val="7.305336832895889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Dashboard_Calc!$C$3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253-4F15-B45D-C610632C130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253-4F15-B45D-C610632C130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253-4F15-B45D-C610632C13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Dashboard_Calc!$B$4:$B$7</c:f>
              <c:strCache>
                <c:ptCount val="3"/>
                <c:pt idx="0">
                  <c:v>High Risk</c:v>
                </c:pt>
                <c:pt idx="1">
                  <c:v>Low Risk</c:v>
                </c:pt>
                <c:pt idx="2">
                  <c:v>Medium Risk</c:v>
                </c:pt>
              </c:strCache>
            </c:strRef>
          </c:cat>
          <c:val>
            <c:numRef>
              <c:f>Dashboard_Calc!$C$4:$C$7</c:f>
              <c:numCache>
                <c:formatCode>"₹"\ #,##0</c:formatCode>
                <c:ptCount val="3"/>
                <c:pt idx="0">
                  <c:v>35575</c:v>
                </c:pt>
                <c:pt idx="1">
                  <c:v>45246</c:v>
                </c:pt>
                <c:pt idx="2">
                  <c:v>32082</c:v>
                </c:pt>
              </c:numCache>
            </c:numRef>
          </c:val>
          <c:extLst>
            <c:ext xmlns:c16="http://schemas.microsoft.com/office/drawing/2014/chart" uri="{C3380CC4-5D6E-409C-BE32-E72D297353CC}">
              <c16:uniqueId val="{00000006-1253-4F15-B45D-C610632C130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[excelGPT.xlsx]Dashboard_Calc!PivotTable4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Response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Dashboard_Calc!$C$13</c:f>
              <c:strCache>
                <c:ptCount val="1"/>
                <c:pt idx="0">
                  <c:v>Total</c:v>
                </c:pt>
              </c:strCache>
            </c:strRef>
          </c:tx>
          <c:spPr>
            <a:solidFill>
              <a:schemeClr val="accent1"/>
            </a:solidFill>
            <a:ln>
              <a:noFill/>
            </a:ln>
            <a:effectLst/>
          </c:spPr>
          <c:invertIfNegative val="0"/>
          <c:cat>
            <c:strRef>
              <c:f>Dashboard_Calc!$B$14:$B$18</c:f>
              <c:strCache>
                <c:ptCount val="4"/>
                <c:pt idx="0">
                  <c:v>Billing</c:v>
                </c:pt>
                <c:pt idx="1">
                  <c:v>Feature</c:v>
                </c:pt>
                <c:pt idx="2">
                  <c:v>Login</c:v>
                </c:pt>
                <c:pt idx="3">
                  <c:v>Technical</c:v>
                </c:pt>
              </c:strCache>
            </c:strRef>
          </c:cat>
          <c:val>
            <c:numRef>
              <c:f>Dashboard_Calc!$C$14:$C$18</c:f>
              <c:numCache>
                <c:formatCode>General</c:formatCode>
                <c:ptCount val="4"/>
                <c:pt idx="0">
                  <c:v>36.5</c:v>
                </c:pt>
                <c:pt idx="1">
                  <c:v>38.666666666666664</c:v>
                </c:pt>
                <c:pt idx="2">
                  <c:v>34.76</c:v>
                </c:pt>
                <c:pt idx="3">
                  <c:v>43.65</c:v>
                </c:pt>
              </c:numCache>
            </c:numRef>
          </c:val>
          <c:extLst>
            <c:ext xmlns:c16="http://schemas.microsoft.com/office/drawing/2014/chart" uri="{C3380CC4-5D6E-409C-BE32-E72D297353CC}">
              <c16:uniqueId val="{00000000-514C-4A23-BCED-8AADE464A6BA}"/>
            </c:ext>
          </c:extLst>
        </c:ser>
        <c:dLbls>
          <c:showLegendKey val="0"/>
          <c:showVal val="0"/>
          <c:showCatName val="0"/>
          <c:showSerName val="0"/>
          <c:showPercent val="0"/>
          <c:showBubbleSize val="0"/>
        </c:dLbls>
        <c:gapWidth val="219"/>
        <c:overlap val="-27"/>
        <c:axId val="84758384"/>
        <c:axId val="84751184"/>
      </c:barChart>
      <c:catAx>
        <c:axId val="847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1184"/>
        <c:crosses val="autoZero"/>
        <c:auto val="1"/>
        <c:lblAlgn val="ctr"/>
        <c:lblOffset val="100"/>
        <c:noMultiLvlLbl val="0"/>
      </c:catAx>
      <c:valAx>
        <c:axId val="8475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2</xdr:row>
      <xdr:rowOff>19051</xdr:rowOff>
    </xdr:from>
    <xdr:to>
      <xdr:col>5</xdr:col>
      <xdr:colOff>981075</xdr:colOff>
      <xdr:row>8</xdr:row>
      <xdr:rowOff>38101</xdr:rowOff>
    </xdr:to>
    <mc:AlternateContent xmlns:mc="http://schemas.openxmlformats.org/markup-compatibility/2006" xmlns:a14="http://schemas.microsoft.com/office/drawing/2010/main">
      <mc:Choice Requires="a14">
        <xdr:graphicFrame macro="">
          <xdr:nvGraphicFramePr>
            <xdr:cNvPr id="2" name="Customer_Tier 1">
              <a:extLst>
                <a:ext uri="{FF2B5EF4-FFF2-40B4-BE49-F238E27FC236}">
                  <a16:creationId xmlns:a16="http://schemas.microsoft.com/office/drawing/2014/main" id="{7334DD6F-D71D-3AC9-4FF6-E8B026F31B11}"/>
                </a:ext>
              </a:extLst>
            </xdr:cNvPr>
            <xdr:cNvGraphicFramePr/>
          </xdr:nvGraphicFramePr>
          <xdr:xfrm>
            <a:off x="0" y="0"/>
            <a:ext cx="0" cy="0"/>
          </xdr:xfrm>
          <a:graphic>
            <a:graphicData uri="http://schemas.microsoft.com/office/drawing/2010/slicer">
              <sle:slicer xmlns:sle="http://schemas.microsoft.com/office/drawing/2010/slicer" name="Customer_Tier 1"/>
            </a:graphicData>
          </a:graphic>
        </xdr:graphicFrame>
      </mc:Choice>
      <mc:Fallback xmlns="">
        <xdr:sp macro="" textlink="">
          <xdr:nvSpPr>
            <xdr:cNvPr id="0" name=""/>
            <xdr:cNvSpPr>
              <a:spLocks noTextEdit="1"/>
            </xdr:cNvSpPr>
          </xdr:nvSpPr>
          <xdr:spPr>
            <a:xfrm>
              <a:off x="3838575" y="40005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xdr:colOff>
      <xdr:row>12</xdr:row>
      <xdr:rowOff>1</xdr:rowOff>
    </xdr:from>
    <xdr:to>
      <xdr:col>5</xdr:col>
      <xdr:colOff>981075</xdr:colOff>
      <xdr:row>19</xdr:row>
      <xdr:rowOff>95251</xdr:rowOff>
    </xdr:to>
    <mc:AlternateContent xmlns:mc="http://schemas.openxmlformats.org/markup-compatibility/2006" xmlns:a14="http://schemas.microsoft.com/office/drawing/2010/main">
      <mc:Choice Requires="a14">
        <xdr:graphicFrame macro="">
          <xdr:nvGraphicFramePr>
            <xdr:cNvPr id="3" name="Issue_Category 1">
              <a:extLst>
                <a:ext uri="{FF2B5EF4-FFF2-40B4-BE49-F238E27FC236}">
                  <a16:creationId xmlns:a16="http://schemas.microsoft.com/office/drawing/2014/main" id="{A47CF95F-7B00-BADA-7688-F7F09E274CA8}"/>
                </a:ext>
              </a:extLst>
            </xdr:cNvPr>
            <xdr:cNvGraphicFramePr/>
          </xdr:nvGraphicFramePr>
          <xdr:xfrm>
            <a:off x="0" y="0"/>
            <a:ext cx="0" cy="0"/>
          </xdr:xfrm>
          <a:graphic>
            <a:graphicData uri="http://schemas.microsoft.com/office/drawing/2010/slicer">
              <sle:slicer xmlns:sle="http://schemas.microsoft.com/office/drawing/2010/slicer" name="Issue_Category 1"/>
            </a:graphicData>
          </a:graphic>
        </xdr:graphicFrame>
      </mc:Choice>
      <mc:Fallback xmlns="">
        <xdr:sp macro="" textlink="">
          <xdr:nvSpPr>
            <xdr:cNvPr id="0" name=""/>
            <xdr:cNvSpPr>
              <a:spLocks noTextEdit="1"/>
            </xdr:cNvSpPr>
          </xdr:nvSpPr>
          <xdr:spPr>
            <a:xfrm>
              <a:off x="3838575" y="2286001"/>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400050</xdr:colOff>
      <xdr:row>1</xdr:row>
      <xdr:rowOff>109537</xdr:rowOff>
    </xdr:from>
    <xdr:to>
      <xdr:col>8</xdr:col>
      <xdr:colOff>95250</xdr:colOff>
      <xdr:row>15</xdr:row>
      <xdr:rowOff>185737</xdr:rowOff>
    </xdr:to>
    <xdr:graphicFrame macro="">
      <xdr:nvGraphicFramePr>
        <xdr:cNvPr id="4" name="Chart 3">
          <a:extLst>
            <a:ext uri="{FF2B5EF4-FFF2-40B4-BE49-F238E27FC236}">
              <a16:creationId xmlns:a16="http://schemas.microsoft.com/office/drawing/2014/main" id="{F0576F2F-D2F5-DC21-C20C-4AB0ACD5F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285750</xdr:colOff>
      <xdr:row>1</xdr:row>
      <xdr:rowOff>109537</xdr:rowOff>
    </xdr:from>
    <xdr:to>
      <xdr:col>15</xdr:col>
      <xdr:colOff>590550</xdr:colOff>
      <xdr:row>15</xdr:row>
      <xdr:rowOff>185737</xdr:rowOff>
    </xdr:to>
    <xdr:graphicFrame macro="">
      <xdr:nvGraphicFramePr>
        <xdr:cNvPr id="5" name="Chart 4">
          <a:extLst>
            <a:ext uri="{FF2B5EF4-FFF2-40B4-BE49-F238E27FC236}">
              <a16:creationId xmlns:a16="http://schemas.microsoft.com/office/drawing/2014/main" id="{6FAB1095-82A5-C16D-806B-4FC14234D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1</xdr:row>
      <xdr:rowOff>0</xdr:rowOff>
    </xdr:from>
    <xdr:to>
      <xdr:col>20</xdr:col>
      <xdr:colOff>0</xdr:colOff>
      <xdr:row>7</xdr:row>
      <xdr:rowOff>19050</xdr:rowOff>
    </xdr:to>
    <mc:AlternateContent xmlns:mc="http://schemas.openxmlformats.org/markup-compatibility/2006" xmlns:a14="http://schemas.microsoft.com/office/drawing/2010/main">
      <mc:Choice Requires="a14">
        <xdr:graphicFrame macro="">
          <xdr:nvGraphicFramePr>
            <xdr:cNvPr id="8" name="Customer_Tier 2">
              <a:extLst>
                <a:ext uri="{FF2B5EF4-FFF2-40B4-BE49-F238E27FC236}">
                  <a16:creationId xmlns:a16="http://schemas.microsoft.com/office/drawing/2014/main" id="{E82C6FAA-9D3E-4FDD-830D-566FCD687F89}"/>
                </a:ext>
              </a:extLst>
            </xdr:cNvPr>
            <xdr:cNvGraphicFramePr/>
          </xdr:nvGraphicFramePr>
          <xdr:xfrm>
            <a:off x="0" y="0"/>
            <a:ext cx="0" cy="0"/>
          </xdr:xfrm>
          <a:graphic>
            <a:graphicData uri="http://schemas.microsoft.com/office/drawing/2010/slicer">
              <sle:slicer xmlns:sle="http://schemas.microsoft.com/office/drawing/2010/slicer" name="Customer_Tier 2"/>
            </a:graphicData>
          </a:graphic>
        </xdr:graphicFrame>
      </mc:Choice>
      <mc:Fallback xmlns="">
        <xdr:sp macro="" textlink="">
          <xdr:nvSpPr>
            <xdr:cNvPr id="0" name=""/>
            <xdr:cNvSpPr>
              <a:spLocks noTextEdit="1"/>
            </xdr:cNvSpPr>
          </xdr:nvSpPr>
          <xdr:spPr>
            <a:xfrm>
              <a:off x="10363200" y="190500"/>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10</xdr:row>
      <xdr:rowOff>0</xdr:rowOff>
    </xdr:from>
    <xdr:to>
      <xdr:col>20</xdr:col>
      <xdr:colOff>0</xdr:colOff>
      <xdr:row>17</xdr:row>
      <xdr:rowOff>95250</xdr:rowOff>
    </xdr:to>
    <mc:AlternateContent xmlns:mc="http://schemas.openxmlformats.org/markup-compatibility/2006" xmlns:a14="http://schemas.microsoft.com/office/drawing/2010/main">
      <mc:Choice Requires="a14">
        <xdr:graphicFrame macro="">
          <xdr:nvGraphicFramePr>
            <xdr:cNvPr id="9" name="Issue_Category 2">
              <a:extLst>
                <a:ext uri="{FF2B5EF4-FFF2-40B4-BE49-F238E27FC236}">
                  <a16:creationId xmlns:a16="http://schemas.microsoft.com/office/drawing/2014/main" id="{F9BD9B23-4BDE-44F8-A594-C36E0A0339D7}"/>
                </a:ext>
              </a:extLst>
            </xdr:cNvPr>
            <xdr:cNvGraphicFramePr/>
          </xdr:nvGraphicFramePr>
          <xdr:xfrm>
            <a:off x="0" y="0"/>
            <a:ext cx="0" cy="0"/>
          </xdr:xfrm>
          <a:graphic>
            <a:graphicData uri="http://schemas.microsoft.com/office/drawing/2010/slicer">
              <sle:slicer xmlns:sle="http://schemas.microsoft.com/office/drawing/2010/slicer" name="Issue_Category 2"/>
            </a:graphicData>
          </a:graphic>
        </xdr:graphicFrame>
      </mc:Choice>
      <mc:Fallback xmlns="">
        <xdr:sp macro="" textlink="">
          <xdr:nvSpPr>
            <xdr:cNvPr id="0" name=""/>
            <xdr:cNvSpPr>
              <a:spLocks noTextEdit="1"/>
            </xdr:cNvSpPr>
          </xdr:nvSpPr>
          <xdr:spPr>
            <a:xfrm>
              <a:off x="10363200" y="1905000"/>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NAGAR" refreshedDate="46062.747531597219" createdVersion="8" refreshedVersion="8" minRefreshableVersion="3" recordCount="100" xr:uid="{5C803F75-B2A1-4114-ADAC-C935EF5DD7F5}">
  <cacheSource type="worksheet">
    <worksheetSource name="Table1"/>
  </cacheSource>
  <cacheFields count="8">
    <cacheField name="Ticket_ID" numFmtId="0">
      <sharedItems/>
    </cacheField>
    <cacheField name="Customer_Tier" numFmtId="0">
      <sharedItems count="3">
        <s v="Silver"/>
        <s v="Gold"/>
        <s v="Platinum"/>
      </sharedItems>
    </cacheField>
    <cacheField name="Issue_Category" numFmtId="0">
      <sharedItems count="4">
        <s v="Feature"/>
        <s v="Login"/>
        <s v="Billing"/>
        <s v="Technical"/>
      </sharedItems>
    </cacheField>
    <cacheField name="Resolution_Hours" numFmtId="0">
      <sharedItems containsSemiMixedTypes="0" containsString="0" containsNumber="1" containsInteger="1" minValue="2" maxValue="72"/>
    </cacheField>
    <cacheField name="CSAT_Score" numFmtId="0">
      <sharedItems containsSemiMixedTypes="0" containsString="0" containsNumber="1" containsInteger="1" minValue="1" maxValue="5"/>
    </cacheField>
    <cacheField name="Monthly_Value" numFmtId="0">
      <sharedItems containsSemiMixedTypes="0" containsString="0" containsNumber="1" containsInteger="1" minValue="125" maxValue="1932"/>
    </cacheField>
    <cacheField name="Churn_Risk" numFmtId="0">
      <sharedItems count="3">
        <s v="Low Risk"/>
        <s v="Medium Risk"/>
        <s v="High Risk"/>
      </sharedItems>
    </cacheField>
    <cacheField name="Priority_Score" numFmtId="0">
      <sharedItems containsSemiMixedTypes="0" containsString="0" containsNumber="1" containsInteger="1" minValue="10" maxValue="100"/>
    </cacheField>
  </cacheFields>
  <extLst>
    <ext xmlns:x14="http://schemas.microsoft.com/office/spreadsheetml/2009/9/main" uri="{725AE2AE-9491-48be-B2B4-4EB974FC3084}">
      <x14:pivotCacheDefinition pivotCacheId="152758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S-1001"/>
    <x v="0"/>
    <x v="0"/>
    <n v="15"/>
    <n v="5"/>
    <n v="758"/>
    <x v="0"/>
    <n v="10"/>
  </r>
  <r>
    <s v="TS-1002"/>
    <x v="1"/>
    <x v="1"/>
    <n v="15"/>
    <n v="3"/>
    <n v="493"/>
    <x v="1"/>
    <n v="10"/>
  </r>
  <r>
    <s v="TS-1003"/>
    <x v="0"/>
    <x v="2"/>
    <n v="72"/>
    <n v="2"/>
    <n v="1502"/>
    <x v="2"/>
    <n v="80"/>
  </r>
  <r>
    <s v="TS-1004"/>
    <x v="0"/>
    <x v="2"/>
    <n v="29"/>
    <n v="1"/>
    <n v="1932"/>
    <x v="2"/>
    <n v="80"/>
  </r>
  <r>
    <s v="TS-1005"/>
    <x v="0"/>
    <x v="2"/>
    <n v="42"/>
    <n v="1"/>
    <n v="1020"/>
    <x v="2"/>
    <n v="80"/>
  </r>
  <r>
    <s v="TS-1006"/>
    <x v="0"/>
    <x v="2"/>
    <n v="21"/>
    <n v="2"/>
    <n v="1012"/>
    <x v="0"/>
    <n v="10"/>
  </r>
  <r>
    <s v="TS-1007"/>
    <x v="0"/>
    <x v="3"/>
    <n v="54"/>
    <n v="5"/>
    <n v="1738"/>
    <x v="1"/>
    <n v="10"/>
  </r>
  <r>
    <s v="TS-1008"/>
    <x v="1"/>
    <x v="2"/>
    <n v="30"/>
    <n v="4"/>
    <n v="1710"/>
    <x v="0"/>
    <n v="10"/>
  </r>
  <r>
    <s v="TS-1009"/>
    <x v="0"/>
    <x v="1"/>
    <n v="64"/>
    <n v="1"/>
    <n v="483"/>
    <x v="2"/>
    <n v="80"/>
  </r>
  <r>
    <s v="TS-1010"/>
    <x v="2"/>
    <x v="2"/>
    <n v="58"/>
    <n v="4"/>
    <n v="557"/>
    <x v="1"/>
    <n v="10"/>
  </r>
  <r>
    <s v="TS-1011"/>
    <x v="0"/>
    <x v="2"/>
    <n v="3"/>
    <n v="4"/>
    <n v="507"/>
    <x v="0"/>
    <n v="10"/>
  </r>
  <r>
    <s v="TS-1012"/>
    <x v="1"/>
    <x v="3"/>
    <n v="66"/>
    <n v="5"/>
    <n v="1220"/>
    <x v="1"/>
    <n v="10"/>
  </r>
  <r>
    <s v="TS-1013"/>
    <x v="1"/>
    <x v="2"/>
    <n v="38"/>
    <n v="4"/>
    <n v="1476"/>
    <x v="0"/>
    <n v="10"/>
  </r>
  <r>
    <s v="TS-1014"/>
    <x v="1"/>
    <x v="1"/>
    <n v="42"/>
    <n v="5"/>
    <n v="1782"/>
    <x v="0"/>
    <n v="10"/>
  </r>
  <r>
    <s v="TS-1015"/>
    <x v="1"/>
    <x v="3"/>
    <n v="57"/>
    <n v="3"/>
    <n v="1301"/>
    <x v="1"/>
    <n v="10"/>
  </r>
  <r>
    <s v="TS-1016"/>
    <x v="2"/>
    <x v="0"/>
    <n v="62"/>
    <n v="1"/>
    <n v="1823"/>
    <x v="2"/>
    <n v="100"/>
  </r>
  <r>
    <s v="TS-1017"/>
    <x v="1"/>
    <x v="0"/>
    <n v="11"/>
    <n v="1"/>
    <n v="158"/>
    <x v="0"/>
    <n v="10"/>
  </r>
  <r>
    <s v="TS-1018"/>
    <x v="0"/>
    <x v="0"/>
    <n v="70"/>
    <n v="5"/>
    <n v="1293"/>
    <x v="1"/>
    <n v="10"/>
  </r>
  <r>
    <s v="TS-1019"/>
    <x v="1"/>
    <x v="0"/>
    <n v="27"/>
    <n v="4"/>
    <n v="473"/>
    <x v="0"/>
    <n v="10"/>
  </r>
  <r>
    <s v="TS-1020"/>
    <x v="0"/>
    <x v="1"/>
    <n v="8"/>
    <n v="3"/>
    <n v="1696"/>
    <x v="1"/>
    <n v="10"/>
  </r>
  <r>
    <s v="TS-1021"/>
    <x v="2"/>
    <x v="0"/>
    <n v="64"/>
    <n v="4"/>
    <n v="1433"/>
    <x v="1"/>
    <n v="10"/>
  </r>
  <r>
    <s v="TS-1022"/>
    <x v="2"/>
    <x v="0"/>
    <n v="41"/>
    <n v="1"/>
    <n v="1895"/>
    <x v="2"/>
    <n v="100"/>
  </r>
  <r>
    <s v="TS-1023"/>
    <x v="0"/>
    <x v="1"/>
    <n v="64"/>
    <n v="3"/>
    <n v="1078"/>
    <x v="1"/>
    <n v="10"/>
  </r>
  <r>
    <s v="TS-1024"/>
    <x v="0"/>
    <x v="0"/>
    <n v="55"/>
    <n v="3"/>
    <n v="1595"/>
    <x v="1"/>
    <n v="10"/>
  </r>
  <r>
    <s v="TS-1025"/>
    <x v="2"/>
    <x v="1"/>
    <n v="35"/>
    <n v="1"/>
    <n v="1890"/>
    <x v="2"/>
    <n v="100"/>
  </r>
  <r>
    <s v="TS-1026"/>
    <x v="1"/>
    <x v="1"/>
    <n v="9"/>
    <n v="3"/>
    <n v="992"/>
    <x v="1"/>
    <n v="10"/>
  </r>
  <r>
    <s v="TS-1027"/>
    <x v="0"/>
    <x v="1"/>
    <n v="60"/>
    <n v="3"/>
    <n v="1124"/>
    <x v="1"/>
    <n v="10"/>
  </r>
  <r>
    <s v="TS-1028"/>
    <x v="1"/>
    <x v="2"/>
    <n v="4"/>
    <n v="5"/>
    <n v="444"/>
    <x v="0"/>
    <n v="10"/>
  </r>
  <r>
    <s v="TS-1029"/>
    <x v="0"/>
    <x v="3"/>
    <n v="56"/>
    <n v="5"/>
    <n v="675"/>
    <x v="1"/>
    <n v="10"/>
  </r>
  <r>
    <s v="TS-1030"/>
    <x v="0"/>
    <x v="3"/>
    <n v="54"/>
    <n v="2"/>
    <n v="1806"/>
    <x v="2"/>
    <n v="80"/>
  </r>
  <r>
    <s v="TS-1031"/>
    <x v="2"/>
    <x v="0"/>
    <n v="49"/>
    <n v="1"/>
    <n v="1177"/>
    <x v="2"/>
    <n v="100"/>
  </r>
  <r>
    <s v="TS-1032"/>
    <x v="1"/>
    <x v="2"/>
    <n v="50"/>
    <n v="5"/>
    <n v="1242"/>
    <x v="1"/>
    <n v="10"/>
  </r>
  <r>
    <s v="TS-1033"/>
    <x v="1"/>
    <x v="1"/>
    <n v="23"/>
    <n v="4"/>
    <n v="1887"/>
    <x v="0"/>
    <n v="10"/>
  </r>
  <r>
    <s v="TS-1034"/>
    <x v="1"/>
    <x v="0"/>
    <n v="7"/>
    <n v="2"/>
    <n v="1370"/>
    <x v="0"/>
    <n v="10"/>
  </r>
  <r>
    <s v="TS-1035"/>
    <x v="0"/>
    <x v="3"/>
    <n v="62"/>
    <n v="2"/>
    <n v="1893"/>
    <x v="2"/>
    <n v="80"/>
  </r>
  <r>
    <s v="TS-1036"/>
    <x v="1"/>
    <x v="1"/>
    <n v="15"/>
    <n v="2"/>
    <n v="1895"/>
    <x v="0"/>
    <n v="10"/>
  </r>
  <r>
    <s v="TS-1037"/>
    <x v="0"/>
    <x v="1"/>
    <n v="60"/>
    <n v="2"/>
    <n v="769"/>
    <x v="2"/>
    <n v="80"/>
  </r>
  <r>
    <s v="TS-1038"/>
    <x v="1"/>
    <x v="0"/>
    <n v="15"/>
    <n v="1"/>
    <n v="1832"/>
    <x v="0"/>
    <n v="10"/>
  </r>
  <r>
    <s v="TS-1039"/>
    <x v="1"/>
    <x v="2"/>
    <n v="11"/>
    <n v="1"/>
    <n v="851"/>
    <x v="0"/>
    <n v="10"/>
  </r>
  <r>
    <s v="TS-1040"/>
    <x v="0"/>
    <x v="3"/>
    <n v="48"/>
    <n v="1"/>
    <n v="1666"/>
    <x v="2"/>
    <n v="80"/>
  </r>
  <r>
    <s v="TS-1041"/>
    <x v="1"/>
    <x v="3"/>
    <n v="69"/>
    <n v="4"/>
    <n v="334"/>
    <x v="1"/>
    <n v="10"/>
  </r>
  <r>
    <s v="TS-1042"/>
    <x v="1"/>
    <x v="1"/>
    <n v="36"/>
    <n v="1"/>
    <n v="944"/>
    <x v="2"/>
    <n v="90"/>
  </r>
  <r>
    <s v="TS-1043"/>
    <x v="0"/>
    <x v="3"/>
    <n v="27"/>
    <n v="4"/>
    <n v="188"/>
    <x v="0"/>
    <n v="10"/>
  </r>
  <r>
    <s v="TS-1044"/>
    <x v="1"/>
    <x v="2"/>
    <n v="65"/>
    <n v="3"/>
    <n v="1254"/>
    <x v="1"/>
    <n v="10"/>
  </r>
  <r>
    <s v="TS-1045"/>
    <x v="1"/>
    <x v="0"/>
    <n v="10"/>
    <n v="4"/>
    <n v="851"/>
    <x v="0"/>
    <n v="10"/>
  </r>
  <r>
    <s v="TS-1046"/>
    <x v="0"/>
    <x v="2"/>
    <n v="3"/>
    <n v="5"/>
    <n v="696"/>
    <x v="0"/>
    <n v="10"/>
  </r>
  <r>
    <s v="TS-1047"/>
    <x v="2"/>
    <x v="0"/>
    <n v="21"/>
    <n v="2"/>
    <n v="147"/>
    <x v="0"/>
    <n v="10"/>
  </r>
  <r>
    <s v="TS-1048"/>
    <x v="1"/>
    <x v="3"/>
    <n v="21"/>
    <n v="4"/>
    <n v="1873"/>
    <x v="0"/>
    <n v="10"/>
  </r>
  <r>
    <s v="TS-1049"/>
    <x v="2"/>
    <x v="3"/>
    <n v="41"/>
    <n v="2"/>
    <n v="1823"/>
    <x v="2"/>
    <n v="100"/>
  </r>
  <r>
    <s v="TS-1050"/>
    <x v="2"/>
    <x v="0"/>
    <n v="28"/>
    <n v="5"/>
    <n v="1146"/>
    <x v="0"/>
    <n v="10"/>
  </r>
  <r>
    <s v="TS-1051"/>
    <x v="2"/>
    <x v="3"/>
    <n v="22"/>
    <n v="5"/>
    <n v="1574"/>
    <x v="0"/>
    <n v="10"/>
  </r>
  <r>
    <s v="TS-1052"/>
    <x v="0"/>
    <x v="2"/>
    <n v="54"/>
    <n v="2"/>
    <n v="215"/>
    <x v="2"/>
    <n v="80"/>
  </r>
  <r>
    <s v="TS-1053"/>
    <x v="1"/>
    <x v="1"/>
    <n v="6"/>
    <n v="5"/>
    <n v="1507"/>
    <x v="0"/>
    <n v="10"/>
  </r>
  <r>
    <s v="TS-1054"/>
    <x v="0"/>
    <x v="1"/>
    <n v="51"/>
    <n v="2"/>
    <n v="1343"/>
    <x v="2"/>
    <n v="80"/>
  </r>
  <r>
    <s v="TS-1055"/>
    <x v="0"/>
    <x v="1"/>
    <n v="44"/>
    <n v="2"/>
    <n v="1731"/>
    <x v="2"/>
    <n v="80"/>
  </r>
  <r>
    <s v="TS-1056"/>
    <x v="1"/>
    <x v="0"/>
    <n v="40"/>
    <n v="1"/>
    <n v="1852"/>
    <x v="2"/>
    <n v="90"/>
  </r>
  <r>
    <s v="TS-1057"/>
    <x v="0"/>
    <x v="2"/>
    <n v="12"/>
    <n v="1"/>
    <n v="901"/>
    <x v="0"/>
    <n v="10"/>
  </r>
  <r>
    <s v="TS-1058"/>
    <x v="1"/>
    <x v="2"/>
    <n v="15"/>
    <n v="1"/>
    <n v="1156"/>
    <x v="0"/>
    <n v="10"/>
  </r>
  <r>
    <s v="TS-1059"/>
    <x v="1"/>
    <x v="3"/>
    <n v="4"/>
    <n v="4"/>
    <n v="1508"/>
    <x v="0"/>
    <n v="10"/>
  </r>
  <r>
    <s v="TS-1060"/>
    <x v="0"/>
    <x v="1"/>
    <n v="36"/>
    <n v="4"/>
    <n v="1261"/>
    <x v="0"/>
    <n v="10"/>
  </r>
  <r>
    <s v="TS-1061"/>
    <x v="0"/>
    <x v="0"/>
    <n v="25"/>
    <n v="2"/>
    <n v="258"/>
    <x v="2"/>
    <n v="80"/>
  </r>
  <r>
    <s v="TS-1062"/>
    <x v="0"/>
    <x v="2"/>
    <n v="28"/>
    <n v="3"/>
    <n v="1085"/>
    <x v="1"/>
    <n v="10"/>
  </r>
  <r>
    <s v="TS-1063"/>
    <x v="1"/>
    <x v="0"/>
    <n v="62"/>
    <n v="2"/>
    <n v="1461"/>
    <x v="2"/>
    <n v="90"/>
  </r>
  <r>
    <s v="TS-1064"/>
    <x v="2"/>
    <x v="3"/>
    <n v="35"/>
    <n v="1"/>
    <n v="1631"/>
    <x v="2"/>
    <n v="100"/>
  </r>
  <r>
    <s v="TS-1065"/>
    <x v="1"/>
    <x v="3"/>
    <n v="69"/>
    <n v="4"/>
    <n v="349"/>
    <x v="1"/>
    <n v="10"/>
  </r>
  <r>
    <s v="TS-1066"/>
    <x v="0"/>
    <x v="0"/>
    <n v="18"/>
    <n v="1"/>
    <n v="1684"/>
    <x v="0"/>
    <n v="10"/>
  </r>
  <r>
    <s v="TS-1067"/>
    <x v="2"/>
    <x v="1"/>
    <n v="14"/>
    <n v="3"/>
    <n v="1187"/>
    <x v="1"/>
    <n v="10"/>
  </r>
  <r>
    <s v="TS-1068"/>
    <x v="1"/>
    <x v="2"/>
    <n v="67"/>
    <n v="3"/>
    <n v="1649"/>
    <x v="1"/>
    <n v="10"/>
  </r>
  <r>
    <s v="TS-1069"/>
    <x v="0"/>
    <x v="3"/>
    <n v="21"/>
    <n v="5"/>
    <n v="753"/>
    <x v="0"/>
    <n v="10"/>
  </r>
  <r>
    <s v="TS-1070"/>
    <x v="2"/>
    <x v="0"/>
    <n v="21"/>
    <n v="5"/>
    <n v="1113"/>
    <x v="0"/>
    <n v="10"/>
  </r>
  <r>
    <s v="TS-1071"/>
    <x v="0"/>
    <x v="1"/>
    <n v="13"/>
    <n v="4"/>
    <n v="1213"/>
    <x v="0"/>
    <n v="10"/>
  </r>
  <r>
    <s v="TS-1072"/>
    <x v="2"/>
    <x v="0"/>
    <n v="52"/>
    <n v="1"/>
    <n v="277"/>
    <x v="2"/>
    <n v="100"/>
  </r>
  <r>
    <s v="TS-1073"/>
    <x v="1"/>
    <x v="1"/>
    <n v="56"/>
    <n v="3"/>
    <n v="1786"/>
    <x v="1"/>
    <n v="10"/>
  </r>
  <r>
    <s v="TS-1074"/>
    <x v="1"/>
    <x v="1"/>
    <n v="26"/>
    <n v="2"/>
    <n v="1908"/>
    <x v="2"/>
    <n v="90"/>
  </r>
  <r>
    <s v="TS-1075"/>
    <x v="2"/>
    <x v="2"/>
    <n v="72"/>
    <n v="1"/>
    <n v="230"/>
    <x v="2"/>
    <n v="100"/>
  </r>
  <r>
    <s v="TS-1076"/>
    <x v="0"/>
    <x v="2"/>
    <n v="28"/>
    <n v="4"/>
    <n v="947"/>
    <x v="0"/>
    <n v="10"/>
  </r>
  <r>
    <s v="TS-1077"/>
    <x v="2"/>
    <x v="0"/>
    <n v="21"/>
    <n v="2"/>
    <n v="1007"/>
    <x v="0"/>
    <n v="10"/>
  </r>
  <r>
    <s v="TS-1078"/>
    <x v="2"/>
    <x v="2"/>
    <n v="23"/>
    <n v="5"/>
    <n v="175"/>
    <x v="0"/>
    <n v="10"/>
  </r>
  <r>
    <s v="TS-1079"/>
    <x v="0"/>
    <x v="2"/>
    <n v="2"/>
    <n v="1"/>
    <n v="370"/>
    <x v="0"/>
    <n v="10"/>
  </r>
  <r>
    <s v="TS-1080"/>
    <x v="1"/>
    <x v="2"/>
    <n v="71"/>
    <n v="4"/>
    <n v="1134"/>
    <x v="1"/>
    <n v="10"/>
  </r>
  <r>
    <s v="TS-1081"/>
    <x v="0"/>
    <x v="1"/>
    <n v="61"/>
    <n v="1"/>
    <n v="1775"/>
    <x v="2"/>
    <n v="80"/>
  </r>
  <r>
    <s v="TS-1082"/>
    <x v="1"/>
    <x v="2"/>
    <n v="22"/>
    <n v="5"/>
    <n v="1184"/>
    <x v="0"/>
    <n v="10"/>
  </r>
  <r>
    <s v="TS-1083"/>
    <x v="1"/>
    <x v="0"/>
    <n v="62"/>
    <n v="3"/>
    <n v="1221"/>
    <x v="1"/>
    <n v="10"/>
  </r>
  <r>
    <s v="TS-1084"/>
    <x v="1"/>
    <x v="1"/>
    <n v="56"/>
    <n v="3"/>
    <n v="932"/>
    <x v="1"/>
    <n v="10"/>
  </r>
  <r>
    <s v="TS-1085"/>
    <x v="2"/>
    <x v="0"/>
    <n v="45"/>
    <n v="2"/>
    <n v="145"/>
    <x v="2"/>
    <n v="100"/>
  </r>
  <r>
    <s v="TS-1086"/>
    <x v="2"/>
    <x v="0"/>
    <n v="72"/>
    <n v="4"/>
    <n v="511"/>
    <x v="1"/>
    <n v="10"/>
  </r>
  <r>
    <s v="TS-1087"/>
    <x v="2"/>
    <x v="1"/>
    <n v="24"/>
    <n v="1"/>
    <n v="1198"/>
    <x v="0"/>
    <n v="10"/>
  </r>
  <r>
    <s v="TS-1088"/>
    <x v="2"/>
    <x v="3"/>
    <n v="36"/>
    <n v="4"/>
    <n v="1663"/>
    <x v="0"/>
    <n v="10"/>
  </r>
  <r>
    <s v="TS-1089"/>
    <x v="2"/>
    <x v="1"/>
    <n v="37"/>
    <n v="2"/>
    <n v="125"/>
    <x v="2"/>
    <n v="100"/>
  </r>
  <r>
    <s v="TS-1090"/>
    <x v="0"/>
    <x v="1"/>
    <n v="14"/>
    <n v="2"/>
    <n v="979"/>
    <x v="0"/>
    <n v="10"/>
  </r>
  <r>
    <s v="TS-1091"/>
    <x v="1"/>
    <x v="3"/>
    <n v="19"/>
    <n v="1"/>
    <n v="769"/>
    <x v="0"/>
    <n v="10"/>
  </r>
  <r>
    <s v="TS-1092"/>
    <x v="1"/>
    <x v="2"/>
    <n v="67"/>
    <n v="4"/>
    <n v="1854"/>
    <x v="1"/>
    <n v="10"/>
  </r>
  <r>
    <s v="TS-1093"/>
    <x v="2"/>
    <x v="0"/>
    <n v="68"/>
    <n v="5"/>
    <n v="192"/>
    <x v="1"/>
    <n v="10"/>
  </r>
  <r>
    <s v="TS-1094"/>
    <x v="1"/>
    <x v="2"/>
    <n v="38"/>
    <n v="1"/>
    <n v="822"/>
    <x v="2"/>
    <n v="90"/>
  </r>
  <r>
    <s v="TS-1095"/>
    <x v="2"/>
    <x v="3"/>
    <n v="57"/>
    <n v="4"/>
    <n v="1391"/>
    <x v="1"/>
    <n v="10"/>
  </r>
  <r>
    <s v="TS-1096"/>
    <x v="1"/>
    <x v="2"/>
    <n v="36"/>
    <n v="4"/>
    <n v="1624"/>
    <x v="0"/>
    <n v="10"/>
  </r>
  <r>
    <s v="TS-1097"/>
    <x v="2"/>
    <x v="3"/>
    <n v="55"/>
    <n v="3"/>
    <n v="429"/>
    <x v="1"/>
    <n v="10"/>
  </r>
  <r>
    <s v="TS-1098"/>
    <x v="0"/>
    <x v="0"/>
    <n v="13"/>
    <n v="2"/>
    <n v="1604"/>
    <x v="0"/>
    <n v="10"/>
  </r>
  <r>
    <s v="TS-1099"/>
    <x v="0"/>
    <x v="0"/>
    <n v="70"/>
    <n v="4"/>
    <n v="337"/>
    <x v="1"/>
    <n v="10"/>
  </r>
  <r>
    <s v="TS-1100"/>
    <x v="2"/>
    <x v="2"/>
    <n v="61"/>
    <n v="2"/>
    <n v="1179"/>
    <x v="2"/>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FB130-4A67-4E02-B4EA-FBD38E8840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7" firstHeaderRow="1" firstDataRow="1" firstDataCol="1"/>
  <pivotFields count="8">
    <pivotField showAll="0"/>
    <pivotField showAll="0">
      <items count="4">
        <item x="1"/>
        <item x="2"/>
        <item x="0"/>
        <item t="default"/>
      </items>
    </pivotField>
    <pivotField showAll="0">
      <items count="5">
        <item x="2"/>
        <item x="0"/>
        <item x="1"/>
        <item x="3"/>
        <item t="default"/>
      </items>
    </pivotField>
    <pivotField showAll="0"/>
    <pivotField showAll="0"/>
    <pivotField dataField="1" showAll="0"/>
    <pivotField axis="axisRow" showAll="0">
      <items count="4">
        <item x="2"/>
        <item x="0"/>
        <item x="1"/>
        <item t="default"/>
      </items>
    </pivotField>
    <pivotField showAll="0"/>
  </pivotFields>
  <rowFields count="1">
    <field x="6"/>
  </rowFields>
  <rowItems count="4">
    <i>
      <x/>
    </i>
    <i>
      <x v="1"/>
    </i>
    <i>
      <x v="2"/>
    </i>
    <i t="grand">
      <x/>
    </i>
  </rowItems>
  <colItems count="1">
    <i/>
  </colItems>
  <dataFields count="1">
    <dataField name="Sum of Monthly_Value" fld="5" baseField="0" baseItem="0" numFmtId="164"/>
  </dataFields>
  <chartFormats count="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DD2734-5B4E-40E4-97E7-A0777002FB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C18" firstHeaderRow="1" firstDataRow="1" firstDataCol="1"/>
  <pivotFields count="8">
    <pivotField showAll="0"/>
    <pivotField showAll="0">
      <items count="4">
        <item x="1"/>
        <item x="2"/>
        <item x="0"/>
        <item t="default"/>
      </items>
    </pivotField>
    <pivotField axis="axisRow" showAll="0">
      <items count="5">
        <item x="2"/>
        <item x="0"/>
        <item x="1"/>
        <item x="3"/>
        <item t="default"/>
      </items>
    </pivotField>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Average of Resolution_Hours" fld="3" subtotal="average" baseField="2"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ier1" xr10:uid="{37D70322-CF17-4EC3-A887-A98581ACE038}" sourceName="Customer_Tier">
  <pivotTables>
    <pivotTable tabId="2" name="PivotTable4"/>
    <pivotTable tabId="2" name="PivotTable3"/>
  </pivotTables>
  <data>
    <tabular pivotCacheId="15275814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Category1" xr10:uid="{8E502C8A-B729-4BC7-B79A-9625A0622049}" sourceName="Issue_Category">
  <pivotTables>
    <pivotTable tabId="2" name="PivotTable4"/>
    <pivotTable tabId="2" name="PivotTable3"/>
  </pivotTables>
  <data>
    <tabular pivotCacheId="15275814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ier 1" xr10:uid="{05BE7D9E-A3F6-4EB4-BFFF-C7D8502A3557}" cache="Slicer_Customer_Tier1" caption="Customer_Tier" rowHeight="241300"/>
  <slicer name="Issue_Category 1" xr10:uid="{F74ACDD0-3FE6-4775-8BEF-7BB4AB59A8D7}" cache="Slicer_Issue_Category1" caption="Issue_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ier 2" xr10:uid="{8E7EF385-195A-49D0-8A04-61E79F70CD2A}" cache="Slicer_Customer_Tier1" caption="Customer_Tier" rowHeight="241300"/>
  <slicer name="Issue_Category 2" xr10:uid="{5A0F4D7A-A400-4F80-9DB8-F5F12F787DF6}" cache="Slicer_Issue_Category1" caption="Issue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BF4D51-57CD-42F8-847E-8C7AB18E49DE}" name="Table1" displayName="Table1" ref="A1:H101" totalsRowShown="0">
  <autoFilter ref="A1:H101" xr:uid="{4BBF4D51-57CD-42F8-847E-8C7AB18E49DE}"/>
  <tableColumns count="8">
    <tableColumn id="1" xr3:uid="{DF0EC37F-267A-45D6-95BD-596CA8A9CE9C}" name="Ticket_ID"/>
    <tableColumn id="2" xr3:uid="{542800D2-904A-41A1-A35E-FD1CA345CD64}" name="Customer_Tier" dataDxfId="3"/>
    <tableColumn id="3" xr3:uid="{8705A3C2-7DCA-4EEC-BB96-1A0EBFAA2D82}" name="Issue_Category" dataDxfId="2"/>
    <tableColumn id="4" xr3:uid="{5859455F-002B-4BC5-81BD-4E36F9E84648}" name="Resolution_Hours"/>
    <tableColumn id="5" xr3:uid="{3C468888-1769-4AE4-ACCE-662798D595D3}" name="CSAT_Score"/>
    <tableColumn id="6" xr3:uid="{668158AB-A3FE-4325-BA62-9CC4529860DA}" name="Monthly_Value"/>
    <tableColumn id="7" xr3:uid="{755C9FF9-3FE3-41DE-ABFA-D351396107ED}" name="Churn_Risk" dataDxfId="1">
      <calculatedColumnFormula>IF(AND(E2&lt;=2, D2&gt;24), "High Risk", IF(OR(E2=3, D2&gt;48), "Medium Risk", "Low Risk"))</calculatedColumnFormula>
    </tableColumn>
    <tableColumn id="8" xr3:uid="{2035EF4B-134C-45A0-8FD3-8A48C3D638B8}" name="Priority_Score" dataDxfId="0">
      <calculatedColumnFormula>IF(A2="", "", IF(AND(B2="Platinum", G2="High Risk"), 100, IF(AND(B2="Gold", G2="High Risk"), 90, IF(G2="High Risk", 80, IF(G2="Medium", 50, 10)))))</calculatedColumnFormula>
    </tableColumn>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81E5-AF13-4630-A090-C9DFE22568E4}">
  <dimension ref="A1:H101"/>
  <sheetViews>
    <sheetView tabSelected="1" zoomScale="99" workbookViewId="0">
      <selection activeCell="H2" sqref="H2"/>
    </sheetView>
  </sheetViews>
  <sheetFormatPr defaultRowHeight="15" x14ac:dyDescent="0.25"/>
  <cols>
    <col min="1" max="1" width="11.28515625" customWidth="1"/>
    <col min="2" max="2" width="16.5703125" bestFit="1" customWidth="1"/>
    <col min="3" max="3" width="16.5703125" customWidth="1"/>
    <col min="4" max="4" width="19.140625" customWidth="1"/>
    <col min="5" max="5" width="13.7109375" bestFit="1" customWidth="1"/>
    <col min="6" max="6" width="16.85546875" customWidth="1"/>
    <col min="7" max="7" width="13.140625" bestFit="1" customWidth="1"/>
    <col min="8" max="8" width="16" bestFit="1" customWidth="1"/>
  </cols>
  <sheetData>
    <row r="1" spans="1:8" x14ac:dyDescent="0.25">
      <c r="A1" t="s">
        <v>0</v>
      </c>
      <c r="B1" t="s">
        <v>1</v>
      </c>
      <c r="C1" t="s">
        <v>2</v>
      </c>
      <c r="D1" t="s">
        <v>3</v>
      </c>
      <c r="E1" t="s">
        <v>4</v>
      </c>
      <c r="F1" t="s">
        <v>5</v>
      </c>
      <c r="G1" t="s">
        <v>106</v>
      </c>
      <c r="H1" t="s">
        <v>121</v>
      </c>
    </row>
    <row r="2" spans="1:8" x14ac:dyDescent="0.25">
      <c r="A2" t="s">
        <v>6</v>
      </c>
      <c r="B2" t="s">
        <v>114</v>
      </c>
      <c r="C2" t="s">
        <v>117</v>
      </c>
      <c r="D2">
        <v>15</v>
      </c>
      <c r="E2">
        <v>5</v>
      </c>
      <c r="F2">
        <v>758</v>
      </c>
      <c r="G2" t="str">
        <f t="shared" ref="G2:G33" si="0">IF(AND(E2&lt;=2, D2&gt;24), "High Risk", IF(OR(E2=3, D2&gt;48), "Medium Risk", "Low Risk"))</f>
        <v>Low Risk</v>
      </c>
      <c r="H2">
        <f t="shared" ref="H2:H33" si="1">IF(A2="", "", IF(AND(B2="Platinum", G2="High Risk"), 100, IF(AND(B2="Gold", G2="High Risk"), 90, IF(G2="High Risk", 80, IF(G2="Medium", 50, 10)))))</f>
        <v>10</v>
      </c>
    </row>
    <row r="3" spans="1:8" x14ac:dyDescent="0.25">
      <c r="A3" t="s">
        <v>7</v>
      </c>
      <c r="B3" t="s">
        <v>116</v>
      </c>
      <c r="C3" t="s">
        <v>119</v>
      </c>
      <c r="D3">
        <v>15</v>
      </c>
      <c r="E3">
        <v>3</v>
      </c>
      <c r="F3">
        <v>493</v>
      </c>
      <c r="G3" t="str">
        <f t="shared" si="0"/>
        <v>Medium Risk</v>
      </c>
      <c r="H3">
        <f t="shared" si="1"/>
        <v>10</v>
      </c>
    </row>
    <row r="4" spans="1:8" x14ac:dyDescent="0.25">
      <c r="A4" t="s">
        <v>8</v>
      </c>
      <c r="B4" t="s">
        <v>114</v>
      </c>
      <c r="C4" t="s">
        <v>118</v>
      </c>
      <c r="D4">
        <v>72</v>
      </c>
      <c r="E4">
        <v>2</v>
      </c>
      <c r="F4">
        <v>1502</v>
      </c>
      <c r="G4" t="str">
        <f t="shared" si="0"/>
        <v>High Risk</v>
      </c>
      <c r="H4">
        <f t="shared" si="1"/>
        <v>80</v>
      </c>
    </row>
    <row r="5" spans="1:8" x14ac:dyDescent="0.25">
      <c r="A5" t="s">
        <v>9</v>
      </c>
      <c r="B5" t="s">
        <v>114</v>
      </c>
      <c r="C5" t="s">
        <v>118</v>
      </c>
      <c r="D5">
        <v>29</v>
      </c>
      <c r="E5">
        <v>1</v>
      </c>
      <c r="F5">
        <v>1932</v>
      </c>
      <c r="G5" t="str">
        <f t="shared" si="0"/>
        <v>High Risk</v>
      </c>
      <c r="H5">
        <f t="shared" si="1"/>
        <v>80</v>
      </c>
    </row>
    <row r="6" spans="1:8" x14ac:dyDescent="0.25">
      <c r="A6" t="s">
        <v>10</v>
      </c>
      <c r="B6" t="s">
        <v>114</v>
      </c>
      <c r="C6" t="s">
        <v>118</v>
      </c>
      <c r="D6">
        <v>42</v>
      </c>
      <c r="E6">
        <v>1</v>
      </c>
      <c r="F6">
        <v>1020</v>
      </c>
      <c r="G6" t="str">
        <f t="shared" si="0"/>
        <v>High Risk</v>
      </c>
      <c r="H6">
        <f t="shared" si="1"/>
        <v>80</v>
      </c>
    </row>
    <row r="7" spans="1:8" x14ac:dyDescent="0.25">
      <c r="A7" t="s">
        <v>11</v>
      </c>
      <c r="B7" t="s">
        <v>114</v>
      </c>
      <c r="C7" t="s">
        <v>118</v>
      </c>
      <c r="D7">
        <v>21</v>
      </c>
      <c r="E7">
        <v>2</v>
      </c>
      <c r="F7">
        <v>1012</v>
      </c>
      <c r="G7" t="str">
        <f t="shared" si="0"/>
        <v>Low Risk</v>
      </c>
      <c r="H7">
        <f t="shared" si="1"/>
        <v>10</v>
      </c>
    </row>
    <row r="8" spans="1:8" x14ac:dyDescent="0.25">
      <c r="A8" t="s">
        <v>12</v>
      </c>
      <c r="B8" t="s">
        <v>114</v>
      </c>
      <c r="C8" t="s">
        <v>113</v>
      </c>
      <c r="D8">
        <v>54</v>
      </c>
      <c r="E8">
        <v>5</v>
      </c>
      <c r="F8">
        <v>1738</v>
      </c>
      <c r="G8" t="str">
        <f t="shared" si="0"/>
        <v>Medium Risk</v>
      </c>
      <c r="H8">
        <f t="shared" si="1"/>
        <v>10</v>
      </c>
    </row>
    <row r="9" spans="1:8" x14ac:dyDescent="0.25">
      <c r="A9" t="s">
        <v>13</v>
      </c>
      <c r="B9" t="s">
        <v>116</v>
      </c>
      <c r="C9" t="s">
        <v>118</v>
      </c>
      <c r="D9">
        <v>30</v>
      </c>
      <c r="E9">
        <v>4</v>
      </c>
      <c r="F9">
        <v>1710</v>
      </c>
      <c r="G9" t="str">
        <f t="shared" si="0"/>
        <v>Low Risk</v>
      </c>
      <c r="H9">
        <f t="shared" si="1"/>
        <v>10</v>
      </c>
    </row>
    <row r="10" spans="1:8" x14ac:dyDescent="0.25">
      <c r="A10" t="s">
        <v>14</v>
      </c>
      <c r="B10" t="s">
        <v>114</v>
      </c>
      <c r="C10" t="s">
        <v>119</v>
      </c>
      <c r="D10">
        <v>64</v>
      </c>
      <c r="E10">
        <v>1</v>
      </c>
      <c r="F10">
        <v>483</v>
      </c>
      <c r="G10" t="str">
        <f t="shared" si="0"/>
        <v>High Risk</v>
      </c>
      <c r="H10">
        <f t="shared" si="1"/>
        <v>80</v>
      </c>
    </row>
    <row r="11" spans="1:8" x14ac:dyDescent="0.25">
      <c r="A11" t="s">
        <v>15</v>
      </c>
      <c r="B11" t="s">
        <v>115</v>
      </c>
      <c r="C11" t="s">
        <v>118</v>
      </c>
      <c r="D11">
        <v>58</v>
      </c>
      <c r="E11">
        <v>4</v>
      </c>
      <c r="F11">
        <v>557</v>
      </c>
      <c r="G11" t="str">
        <f t="shared" si="0"/>
        <v>Medium Risk</v>
      </c>
      <c r="H11">
        <f t="shared" si="1"/>
        <v>10</v>
      </c>
    </row>
    <row r="12" spans="1:8" x14ac:dyDescent="0.25">
      <c r="A12" t="s">
        <v>16</v>
      </c>
      <c r="B12" t="s">
        <v>114</v>
      </c>
      <c r="C12" t="s">
        <v>118</v>
      </c>
      <c r="D12">
        <v>3</v>
      </c>
      <c r="E12">
        <v>4</v>
      </c>
      <c r="F12">
        <v>507</v>
      </c>
      <c r="G12" t="str">
        <f t="shared" si="0"/>
        <v>Low Risk</v>
      </c>
      <c r="H12">
        <f t="shared" si="1"/>
        <v>10</v>
      </c>
    </row>
    <row r="13" spans="1:8" x14ac:dyDescent="0.25">
      <c r="A13" t="s">
        <v>17</v>
      </c>
      <c r="B13" t="s">
        <v>116</v>
      </c>
      <c r="C13" t="s">
        <v>113</v>
      </c>
      <c r="D13">
        <v>66</v>
      </c>
      <c r="E13">
        <v>5</v>
      </c>
      <c r="F13">
        <v>1220</v>
      </c>
      <c r="G13" t="str">
        <f t="shared" si="0"/>
        <v>Medium Risk</v>
      </c>
      <c r="H13">
        <f t="shared" si="1"/>
        <v>10</v>
      </c>
    </row>
    <row r="14" spans="1:8" x14ac:dyDescent="0.25">
      <c r="A14" t="s">
        <v>18</v>
      </c>
      <c r="B14" t="s">
        <v>116</v>
      </c>
      <c r="C14" t="s">
        <v>118</v>
      </c>
      <c r="D14">
        <v>38</v>
      </c>
      <c r="E14">
        <v>4</v>
      </c>
      <c r="F14">
        <v>1476</v>
      </c>
      <c r="G14" t="str">
        <f t="shared" si="0"/>
        <v>Low Risk</v>
      </c>
      <c r="H14">
        <f t="shared" si="1"/>
        <v>10</v>
      </c>
    </row>
    <row r="15" spans="1:8" x14ac:dyDescent="0.25">
      <c r="A15" t="s">
        <v>19</v>
      </c>
      <c r="B15" t="s">
        <v>116</v>
      </c>
      <c r="C15" t="s">
        <v>119</v>
      </c>
      <c r="D15">
        <v>42</v>
      </c>
      <c r="E15">
        <v>5</v>
      </c>
      <c r="F15">
        <v>1782</v>
      </c>
      <c r="G15" t="str">
        <f t="shared" si="0"/>
        <v>Low Risk</v>
      </c>
      <c r="H15">
        <f t="shared" si="1"/>
        <v>10</v>
      </c>
    </row>
    <row r="16" spans="1:8" x14ac:dyDescent="0.25">
      <c r="A16" t="s">
        <v>20</v>
      </c>
      <c r="B16" t="s">
        <v>116</v>
      </c>
      <c r="C16" t="s">
        <v>113</v>
      </c>
      <c r="D16">
        <v>57</v>
      </c>
      <c r="E16">
        <v>3</v>
      </c>
      <c r="F16">
        <v>1301</v>
      </c>
      <c r="G16" t="str">
        <f t="shared" si="0"/>
        <v>Medium Risk</v>
      </c>
      <c r="H16">
        <f t="shared" si="1"/>
        <v>10</v>
      </c>
    </row>
    <row r="17" spans="1:8" x14ac:dyDescent="0.25">
      <c r="A17" t="s">
        <v>21</v>
      </c>
      <c r="B17" t="s">
        <v>115</v>
      </c>
      <c r="C17" t="s">
        <v>117</v>
      </c>
      <c r="D17">
        <v>62</v>
      </c>
      <c r="E17">
        <v>1</v>
      </c>
      <c r="F17">
        <v>1823</v>
      </c>
      <c r="G17" t="str">
        <f t="shared" si="0"/>
        <v>High Risk</v>
      </c>
      <c r="H17">
        <f t="shared" si="1"/>
        <v>100</v>
      </c>
    </row>
    <row r="18" spans="1:8" x14ac:dyDescent="0.25">
      <c r="A18" t="s">
        <v>22</v>
      </c>
      <c r="B18" t="s">
        <v>116</v>
      </c>
      <c r="C18" t="s">
        <v>117</v>
      </c>
      <c r="D18">
        <v>11</v>
      </c>
      <c r="E18">
        <v>1</v>
      </c>
      <c r="F18">
        <v>158</v>
      </c>
      <c r="G18" t="str">
        <f t="shared" si="0"/>
        <v>Low Risk</v>
      </c>
      <c r="H18">
        <f t="shared" si="1"/>
        <v>10</v>
      </c>
    </row>
    <row r="19" spans="1:8" x14ac:dyDescent="0.25">
      <c r="A19" t="s">
        <v>23</v>
      </c>
      <c r="B19" t="s">
        <v>114</v>
      </c>
      <c r="C19" t="s">
        <v>117</v>
      </c>
      <c r="D19">
        <v>70</v>
      </c>
      <c r="E19">
        <v>5</v>
      </c>
      <c r="F19">
        <v>1293</v>
      </c>
      <c r="G19" t="str">
        <f t="shared" si="0"/>
        <v>Medium Risk</v>
      </c>
      <c r="H19">
        <f t="shared" si="1"/>
        <v>10</v>
      </c>
    </row>
    <row r="20" spans="1:8" x14ac:dyDescent="0.25">
      <c r="A20" t="s">
        <v>24</v>
      </c>
      <c r="B20" t="s">
        <v>116</v>
      </c>
      <c r="C20" t="s">
        <v>117</v>
      </c>
      <c r="D20">
        <v>27</v>
      </c>
      <c r="E20">
        <v>4</v>
      </c>
      <c r="F20">
        <v>473</v>
      </c>
      <c r="G20" t="str">
        <f t="shared" si="0"/>
        <v>Low Risk</v>
      </c>
      <c r="H20">
        <f t="shared" si="1"/>
        <v>10</v>
      </c>
    </row>
    <row r="21" spans="1:8" x14ac:dyDescent="0.25">
      <c r="A21" t="s">
        <v>25</v>
      </c>
      <c r="B21" t="s">
        <v>114</v>
      </c>
      <c r="C21" t="s">
        <v>119</v>
      </c>
      <c r="D21">
        <v>8</v>
      </c>
      <c r="E21">
        <v>3</v>
      </c>
      <c r="F21">
        <v>1696</v>
      </c>
      <c r="G21" t="str">
        <f t="shared" si="0"/>
        <v>Medium Risk</v>
      </c>
      <c r="H21">
        <f t="shared" si="1"/>
        <v>10</v>
      </c>
    </row>
    <row r="22" spans="1:8" x14ac:dyDescent="0.25">
      <c r="A22" t="s">
        <v>26</v>
      </c>
      <c r="B22" t="s">
        <v>115</v>
      </c>
      <c r="C22" t="s">
        <v>117</v>
      </c>
      <c r="D22">
        <v>64</v>
      </c>
      <c r="E22">
        <v>4</v>
      </c>
      <c r="F22">
        <v>1433</v>
      </c>
      <c r="G22" t="str">
        <f t="shared" si="0"/>
        <v>Medium Risk</v>
      </c>
      <c r="H22">
        <f t="shared" si="1"/>
        <v>10</v>
      </c>
    </row>
    <row r="23" spans="1:8" x14ac:dyDescent="0.25">
      <c r="A23" t="s">
        <v>27</v>
      </c>
      <c r="B23" t="s">
        <v>115</v>
      </c>
      <c r="C23" t="s">
        <v>117</v>
      </c>
      <c r="D23">
        <v>41</v>
      </c>
      <c r="E23">
        <v>1</v>
      </c>
      <c r="F23">
        <v>1895</v>
      </c>
      <c r="G23" t="str">
        <f t="shared" si="0"/>
        <v>High Risk</v>
      </c>
      <c r="H23">
        <f t="shared" si="1"/>
        <v>100</v>
      </c>
    </row>
    <row r="24" spans="1:8" x14ac:dyDescent="0.25">
      <c r="A24" t="s">
        <v>28</v>
      </c>
      <c r="B24" t="s">
        <v>114</v>
      </c>
      <c r="C24" t="s">
        <v>119</v>
      </c>
      <c r="D24">
        <v>64</v>
      </c>
      <c r="E24">
        <v>3</v>
      </c>
      <c r="F24">
        <v>1078</v>
      </c>
      <c r="G24" t="str">
        <f t="shared" si="0"/>
        <v>Medium Risk</v>
      </c>
      <c r="H24">
        <f t="shared" si="1"/>
        <v>10</v>
      </c>
    </row>
    <row r="25" spans="1:8" x14ac:dyDescent="0.25">
      <c r="A25" t="s">
        <v>29</v>
      </c>
      <c r="B25" t="s">
        <v>114</v>
      </c>
      <c r="C25" t="s">
        <v>117</v>
      </c>
      <c r="D25">
        <v>55</v>
      </c>
      <c r="E25">
        <v>3</v>
      </c>
      <c r="F25">
        <v>1595</v>
      </c>
      <c r="G25" t="str">
        <f t="shared" si="0"/>
        <v>Medium Risk</v>
      </c>
      <c r="H25">
        <f t="shared" si="1"/>
        <v>10</v>
      </c>
    </row>
    <row r="26" spans="1:8" x14ac:dyDescent="0.25">
      <c r="A26" t="s">
        <v>30</v>
      </c>
      <c r="B26" t="s">
        <v>115</v>
      </c>
      <c r="C26" t="s">
        <v>119</v>
      </c>
      <c r="D26">
        <v>35</v>
      </c>
      <c r="E26">
        <v>1</v>
      </c>
      <c r="F26">
        <v>1890</v>
      </c>
      <c r="G26" t="str">
        <f t="shared" si="0"/>
        <v>High Risk</v>
      </c>
      <c r="H26">
        <f t="shared" si="1"/>
        <v>100</v>
      </c>
    </row>
    <row r="27" spans="1:8" x14ac:dyDescent="0.25">
      <c r="A27" t="s">
        <v>31</v>
      </c>
      <c r="B27" t="s">
        <v>116</v>
      </c>
      <c r="C27" t="s">
        <v>119</v>
      </c>
      <c r="D27">
        <v>9</v>
      </c>
      <c r="E27">
        <v>3</v>
      </c>
      <c r="F27">
        <v>992</v>
      </c>
      <c r="G27" t="str">
        <f t="shared" si="0"/>
        <v>Medium Risk</v>
      </c>
      <c r="H27">
        <f t="shared" si="1"/>
        <v>10</v>
      </c>
    </row>
    <row r="28" spans="1:8" x14ac:dyDescent="0.25">
      <c r="A28" t="s">
        <v>32</v>
      </c>
      <c r="B28" t="s">
        <v>114</v>
      </c>
      <c r="C28" t="s">
        <v>119</v>
      </c>
      <c r="D28">
        <v>60</v>
      </c>
      <c r="E28">
        <v>3</v>
      </c>
      <c r="F28">
        <v>1124</v>
      </c>
      <c r="G28" t="str">
        <f t="shared" si="0"/>
        <v>Medium Risk</v>
      </c>
      <c r="H28">
        <f t="shared" si="1"/>
        <v>10</v>
      </c>
    </row>
    <row r="29" spans="1:8" x14ac:dyDescent="0.25">
      <c r="A29" t="s">
        <v>33</v>
      </c>
      <c r="B29" t="s">
        <v>116</v>
      </c>
      <c r="C29" t="s">
        <v>118</v>
      </c>
      <c r="D29">
        <v>4</v>
      </c>
      <c r="E29">
        <v>5</v>
      </c>
      <c r="F29">
        <v>444</v>
      </c>
      <c r="G29" t="str">
        <f t="shared" si="0"/>
        <v>Low Risk</v>
      </c>
      <c r="H29">
        <f t="shared" si="1"/>
        <v>10</v>
      </c>
    </row>
    <row r="30" spans="1:8" x14ac:dyDescent="0.25">
      <c r="A30" t="s">
        <v>34</v>
      </c>
      <c r="B30" t="s">
        <v>114</v>
      </c>
      <c r="C30" t="s">
        <v>113</v>
      </c>
      <c r="D30">
        <v>56</v>
      </c>
      <c r="E30">
        <v>5</v>
      </c>
      <c r="F30">
        <v>675</v>
      </c>
      <c r="G30" t="str">
        <f t="shared" si="0"/>
        <v>Medium Risk</v>
      </c>
      <c r="H30">
        <f t="shared" si="1"/>
        <v>10</v>
      </c>
    </row>
    <row r="31" spans="1:8" x14ac:dyDescent="0.25">
      <c r="A31" t="s">
        <v>35</v>
      </c>
      <c r="B31" t="s">
        <v>114</v>
      </c>
      <c r="C31" t="s">
        <v>113</v>
      </c>
      <c r="D31">
        <v>54</v>
      </c>
      <c r="E31">
        <v>2</v>
      </c>
      <c r="F31">
        <v>1806</v>
      </c>
      <c r="G31" t="str">
        <f t="shared" si="0"/>
        <v>High Risk</v>
      </c>
      <c r="H31">
        <f t="shared" si="1"/>
        <v>80</v>
      </c>
    </row>
    <row r="32" spans="1:8" x14ac:dyDescent="0.25">
      <c r="A32" t="s">
        <v>36</v>
      </c>
      <c r="B32" t="s">
        <v>115</v>
      </c>
      <c r="C32" t="s">
        <v>117</v>
      </c>
      <c r="D32">
        <v>49</v>
      </c>
      <c r="E32">
        <v>1</v>
      </c>
      <c r="F32">
        <v>1177</v>
      </c>
      <c r="G32" t="str">
        <f t="shared" si="0"/>
        <v>High Risk</v>
      </c>
      <c r="H32">
        <f t="shared" si="1"/>
        <v>100</v>
      </c>
    </row>
    <row r="33" spans="1:8" x14ac:dyDescent="0.25">
      <c r="A33" t="s">
        <v>37</v>
      </c>
      <c r="B33" t="s">
        <v>116</v>
      </c>
      <c r="C33" t="s">
        <v>118</v>
      </c>
      <c r="D33">
        <v>50</v>
      </c>
      <c r="E33">
        <v>5</v>
      </c>
      <c r="F33">
        <v>1242</v>
      </c>
      <c r="G33" t="str">
        <f t="shared" si="0"/>
        <v>Medium Risk</v>
      </c>
      <c r="H33">
        <f t="shared" si="1"/>
        <v>10</v>
      </c>
    </row>
    <row r="34" spans="1:8" x14ac:dyDescent="0.25">
      <c r="A34" t="s">
        <v>38</v>
      </c>
      <c r="B34" t="s">
        <v>116</v>
      </c>
      <c r="C34" t="s">
        <v>119</v>
      </c>
      <c r="D34">
        <v>23</v>
      </c>
      <c r="E34">
        <v>4</v>
      </c>
      <c r="F34">
        <v>1887</v>
      </c>
      <c r="G34" t="str">
        <f t="shared" ref="G34:G65" si="2">IF(AND(E34&lt;=2, D34&gt;24), "High Risk", IF(OR(E34=3, D34&gt;48), "Medium Risk", "Low Risk"))</f>
        <v>Low Risk</v>
      </c>
      <c r="H34">
        <f t="shared" ref="H34:H65" si="3">IF(A34="", "", IF(AND(B34="Platinum", G34="High Risk"), 100, IF(AND(B34="Gold", G34="High Risk"), 90, IF(G34="High Risk", 80, IF(G34="Medium", 50, 10)))))</f>
        <v>10</v>
      </c>
    </row>
    <row r="35" spans="1:8" x14ac:dyDescent="0.25">
      <c r="A35" t="s">
        <v>39</v>
      </c>
      <c r="B35" t="s">
        <v>116</v>
      </c>
      <c r="C35" t="s">
        <v>117</v>
      </c>
      <c r="D35">
        <v>7</v>
      </c>
      <c r="E35">
        <v>2</v>
      </c>
      <c r="F35">
        <v>1370</v>
      </c>
      <c r="G35" t="str">
        <f t="shared" si="2"/>
        <v>Low Risk</v>
      </c>
      <c r="H35">
        <f t="shared" si="3"/>
        <v>10</v>
      </c>
    </row>
    <row r="36" spans="1:8" x14ac:dyDescent="0.25">
      <c r="A36" t="s">
        <v>40</v>
      </c>
      <c r="B36" t="s">
        <v>114</v>
      </c>
      <c r="C36" t="s">
        <v>113</v>
      </c>
      <c r="D36">
        <v>62</v>
      </c>
      <c r="E36">
        <v>2</v>
      </c>
      <c r="F36">
        <v>1893</v>
      </c>
      <c r="G36" t="str">
        <f t="shared" si="2"/>
        <v>High Risk</v>
      </c>
      <c r="H36">
        <f t="shared" si="3"/>
        <v>80</v>
      </c>
    </row>
    <row r="37" spans="1:8" x14ac:dyDescent="0.25">
      <c r="A37" t="s">
        <v>41</v>
      </c>
      <c r="B37" t="s">
        <v>116</v>
      </c>
      <c r="C37" t="s">
        <v>119</v>
      </c>
      <c r="D37">
        <v>15</v>
      </c>
      <c r="E37">
        <v>2</v>
      </c>
      <c r="F37">
        <v>1895</v>
      </c>
      <c r="G37" t="str">
        <f t="shared" si="2"/>
        <v>Low Risk</v>
      </c>
      <c r="H37">
        <f t="shared" si="3"/>
        <v>10</v>
      </c>
    </row>
    <row r="38" spans="1:8" x14ac:dyDescent="0.25">
      <c r="A38" t="s">
        <v>42</v>
      </c>
      <c r="B38" t="s">
        <v>114</v>
      </c>
      <c r="C38" t="s">
        <v>119</v>
      </c>
      <c r="D38">
        <v>60</v>
      </c>
      <c r="E38">
        <v>2</v>
      </c>
      <c r="F38">
        <v>769</v>
      </c>
      <c r="G38" t="str">
        <f t="shared" si="2"/>
        <v>High Risk</v>
      </c>
      <c r="H38">
        <f t="shared" si="3"/>
        <v>80</v>
      </c>
    </row>
    <row r="39" spans="1:8" x14ac:dyDescent="0.25">
      <c r="A39" t="s">
        <v>43</v>
      </c>
      <c r="B39" t="s">
        <v>116</v>
      </c>
      <c r="C39" t="s">
        <v>117</v>
      </c>
      <c r="D39">
        <v>15</v>
      </c>
      <c r="E39">
        <v>1</v>
      </c>
      <c r="F39">
        <v>1832</v>
      </c>
      <c r="G39" t="str">
        <f t="shared" si="2"/>
        <v>Low Risk</v>
      </c>
      <c r="H39">
        <f t="shared" si="3"/>
        <v>10</v>
      </c>
    </row>
    <row r="40" spans="1:8" x14ac:dyDescent="0.25">
      <c r="A40" t="s">
        <v>44</v>
      </c>
      <c r="B40" t="s">
        <v>116</v>
      </c>
      <c r="C40" t="s">
        <v>118</v>
      </c>
      <c r="D40">
        <v>11</v>
      </c>
      <c r="E40">
        <v>1</v>
      </c>
      <c r="F40">
        <v>851</v>
      </c>
      <c r="G40" t="str">
        <f t="shared" si="2"/>
        <v>Low Risk</v>
      </c>
      <c r="H40">
        <f t="shared" si="3"/>
        <v>10</v>
      </c>
    </row>
    <row r="41" spans="1:8" x14ac:dyDescent="0.25">
      <c r="A41" t="s">
        <v>45</v>
      </c>
      <c r="B41" t="s">
        <v>114</v>
      </c>
      <c r="C41" t="s">
        <v>113</v>
      </c>
      <c r="D41">
        <v>48</v>
      </c>
      <c r="E41">
        <v>1</v>
      </c>
      <c r="F41">
        <v>1666</v>
      </c>
      <c r="G41" t="str">
        <f t="shared" si="2"/>
        <v>High Risk</v>
      </c>
      <c r="H41">
        <f t="shared" si="3"/>
        <v>80</v>
      </c>
    </row>
    <row r="42" spans="1:8" x14ac:dyDescent="0.25">
      <c r="A42" t="s">
        <v>46</v>
      </c>
      <c r="B42" t="s">
        <v>116</v>
      </c>
      <c r="C42" t="s">
        <v>113</v>
      </c>
      <c r="D42">
        <v>69</v>
      </c>
      <c r="E42">
        <v>4</v>
      </c>
      <c r="F42">
        <v>334</v>
      </c>
      <c r="G42" t="str">
        <f t="shared" si="2"/>
        <v>Medium Risk</v>
      </c>
      <c r="H42">
        <f t="shared" si="3"/>
        <v>10</v>
      </c>
    </row>
    <row r="43" spans="1:8" x14ac:dyDescent="0.25">
      <c r="A43" t="s">
        <v>47</v>
      </c>
      <c r="B43" t="s">
        <v>116</v>
      </c>
      <c r="C43" t="s">
        <v>119</v>
      </c>
      <c r="D43">
        <v>36</v>
      </c>
      <c r="E43">
        <v>1</v>
      </c>
      <c r="F43">
        <v>944</v>
      </c>
      <c r="G43" t="str">
        <f t="shared" si="2"/>
        <v>High Risk</v>
      </c>
      <c r="H43">
        <f t="shared" si="3"/>
        <v>90</v>
      </c>
    </row>
    <row r="44" spans="1:8" x14ac:dyDescent="0.25">
      <c r="A44" t="s">
        <v>48</v>
      </c>
      <c r="B44" t="s">
        <v>114</v>
      </c>
      <c r="C44" t="s">
        <v>113</v>
      </c>
      <c r="D44">
        <v>27</v>
      </c>
      <c r="E44">
        <v>4</v>
      </c>
      <c r="F44">
        <v>188</v>
      </c>
      <c r="G44" t="str">
        <f t="shared" si="2"/>
        <v>Low Risk</v>
      </c>
      <c r="H44">
        <f t="shared" si="3"/>
        <v>10</v>
      </c>
    </row>
    <row r="45" spans="1:8" x14ac:dyDescent="0.25">
      <c r="A45" t="s">
        <v>49</v>
      </c>
      <c r="B45" t="s">
        <v>116</v>
      </c>
      <c r="C45" t="s">
        <v>118</v>
      </c>
      <c r="D45">
        <v>65</v>
      </c>
      <c r="E45">
        <v>3</v>
      </c>
      <c r="F45">
        <v>1254</v>
      </c>
      <c r="G45" t="str">
        <f t="shared" si="2"/>
        <v>Medium Risk</v>
      </c>
      <c r="H45">
        <f t="shared" si="3"/>
        <v>10</v>
      </c>
    </row>
    <row r="46" spans="1:8" x14ac:dyDescent="0.25">
      <c r="A46" t="s">
        <v>50</v>
      </c>
      <c r="B46" t="s">
        <v>116</v>
      </c>
      <c r="C46" t="s">
        <v>117</v>
      </c>
      <c r="D46">
        <v>10</v>
      </c>
      <c r="E46">
        <v>4</v>
      </c>
      <c r="F46">
        <v>851</v>
      </c>
      <c r="G46" t="str">
        <f t="shared" si="2"/>
        <v>Low Risk</v>
      </c>
      <c r="H46">
        <f t="shared" si="3"/>
        <v>10</v>
      </c>
    </row>
    <row r="47" spans="1:8" x14ac:dyDescent="0.25">
      <c r="A47" t="s">
        <v>51</v>
      </c>
      <c r="B47" t="s">
        <v>114</v>
      </c>
      <c r="C47" t="s">
        <v>118</v>
      </c>
      <c r="D47">
        <v>3</v>
      </c>
      <c r="E47">
        <v>5</v>
      </c>
      <c r="F47">
        <v>696</v>
      </c>
      <c r="G47" t="str">
        <f t="shared" si="2"/>
        <v>Low Risk</v>
      </c>
      <c r="H47">
        <f t="shared" si="3"/>
        <v>10</v>
      </c>
    </row>
    <row r="48" spans="1:8" x14ac:dyDescent="0.25">
      <c r="A48" t="s">
        <v>52</v>
      </c>
      <c r="B48" t="s">
        <v>115</v>
      </c>
      <c r="C48" t="s">
        <v>117</v>
      </c>
      <c r="D48">
        <v>21</v>
      </c>
      <c r="E48">
        <v>2</v>
      </c>
      <c r="F48">
        <v>147</v>
      </c>
      <c r="G48" t="str">
        <f t="shared" si="2"/>
        <v>Low Risk</v>
      </c>
      <c r="H48">
        <f t="shared" si="3"/>
        <v>10</v>
      </c>
    </row>
    <row r="49" spans="1:8" x14ac:dyDescent="0.25">
      <c r="A49" t="s">
        <v>53</v>
      </c>
      <c r="B49" t="s">
        <v>116</v>
      </c>
      <c r="C49" t="s">
        <v>113</v>
      </c>
      <c r="D49">
        <v>21</v>
      </c>
      <c r="E49">
        <v>4</v>
      </c>
      <c r="F49">
        <v>1873</v>
      </c>
      <c r="G49" t="str">
        <f t="shared" si="2"/>
        <v>Low Risk</v>
      </c>
      <c r="H49">
        <f t="shared" si="3"/>
        <v>10</v>
      </c>
    </row>
    <row r="50" spans="1:8" x14ac:dyDescent="0.25">
      <c r="A50" t="s">
        <v>54</v>
      </c>
      <c r="B50" t="s">
        <v>115</v>
      </c>
      <c r="C50" t="s">
        <v>113</v>
      </c>
      <c r="D50">
        <v>41</v>
      </c>
      <c r="E50">
        <v>2</v>
      </c>
      <c r="F50">
        <v>1823</v>
      </c>
      <c r="G50" t="str">
        <f t="shared" si="2"/>
        <v>High Risk</v>
      </c>
      <c r="H50">
        <f t="shared" si="3"/>
        <v>100</v>
      </c>
    </row>
    <row r="51" spans="1:8" x14ac:dyDescent="0.25">
      <c r="A51" t="s">
        <v>55</v>
      </c>
      <c r="B51" t="s">
        <v>115</v>
      </c>
      <c r="C51" t="s">
        <v>117</v>
      </c>
      <c r="D51">
        <v>28</v>
      </c>
      <c r="E51">
        <v>5</v>
      </c>
      <c r="F51">
        <v>1146</v>
      </c>
      <c r="G51" t="str">
        <f t="shared" si="2"/>
        <v>Low Risk</v>
      </c>
      <c r="H51">
        <f t="shared" si="3"/>
        <v>10</v>
      </c>
    </row>
    <row r="52" spans="1:8" x14ac:dyDescent="0.25">
      <c r="A52" t="s">
        <v>56</v>
      </c>
      <c r="B52" t="s">
        <v>115</v>
      </c>
      <c r="C52" t="s">
        <v>113</v>
      </c>
      <c r="D52">
        <v>22</v>
      </c>
      <c r="E52">
        <v>5</v>
      </c>
      <c r="F52">
        <v>1574</v>
      </c>
      <c r="G52" t="str">
        <f t="shared" si="2"/>
        <v>Low Risk</v>
      </c>
      <c r="H52">
        <f t="shared" si="3"/>
        <v>10</v>
      </c>
    </row>
    <row r="53" spans="1:8" x14ac:dyDescent="0.25">
      <c r="A53" t="s">
        <v>57</v>
      </c>
      <c r="B53" t="s">
        <v>114</v>
      </c>
      <c r="C53" t="s">
        <v>118</v>
      </c>
      <c r="D53">
        <v>54</v>
      </c>
      <c r="E53">
        <v>2</v>
      </c>
      <c r="F53">
        <v>215</v>
      </c>
      <c r="G53" t="str">
        <f t="shared" si="2"/>
        <v>High Risk</v>
      </c>
      <c r="H53">
        <f t="shared" si="3"/>
        <v>80</v>
      </c>
    </row>
    <row r="54" spans="1:8" x14ac:dyDescent="0.25">
      <c r="A54" t="s">
        <v>58</v>
      </c>
      <c r="B54" t="s">
        <v>116</v>
      </c>
      <c r="C54" t="s">
        <v>119</v>
      </c>
      <c r="D54">
        <v>6</v>
      </c>
      <c r="E54">
        <v>5</v>
      </c>
      <c r="F54">
        <v>1507</v>
      </c>
      <c r="G54" t="str">
        <f t="shared" si="2"/>
        <v>Low Risk</v>
      </c>
      <c r="H54">
        <f t="shared" si="3"/>
        <v>10</v>
      </c>
    </row>
    <row r="55" spans="1:8" x14ac:dyDescent="0.25">
      <c r="A55" t="s">
        <v>59</v>
      </c>
      <c r="B55" t="s">
        <v>114</v>
      </c>
      <c r="C55" t="s">
        <v>119</v>
      </c>
      <c r="D55">
        <v>51</v>
      </c>
      <c r="E55">
        <v>2</v>
      </c>
      <c r="F55">
        <v>1343</v>
      </c>
      <c r="G55" t="str">
        <f t="shared" si="2"/>
        <v>High Risk</v>
      </c>
      <c r="H55">
        <f t="shared" si="3"/>
        <v>80</v>
      </c>
    </row>
    <row r="56" spans="1:8" x14ac:dyDescent="0.25">
      <c r="A56" t="s">
        <v>60</v>
      </c>
      <c r="B56" t="s">
        <v>114</v>
      </c>
      <c r="C56" t="s">
        <v>119</v>
      </c>
      <c r="D56">
        <v>44</v>
      </c>
      <c r="E56">
        <v>2</v>
      </c>
      <c r="F56">
        <v>1731</v>
      </c>
      <c r="G56" t="str">
        <f t="shared" si="2"/>
        <v>High Risk</v>
      </c>
      <c r="H56">
        <f t="shared" si="3"/>
        <v>80</v>
      </c>
    </row>
    <row r="57" spans="1:8" x14ac:dyDescent="0.25">
      <c r="A57" t="s">
        <v>61</v>
      </c>
      <c r="B57" t="s">
        <v>116</v>
      </c>
      <c r="C57" t="s">
        <v>117</v>
      </c>
      <c r="D57">
        <v>40</v>
      </c>
      <c r="E57">
        <v>1</v>
      </c>
      <c r="F57">
        <v>1852</v>
      </c>
      <c r="G57" t="str">
        <f t="shared" si="2"/>
        <v>High Risk</v>
      </c>
      <c r="H57">
        <f t="shared" si="3"/>
        <v>90</v>
      </c>
    </row>
    <row r="58" spans="1:8" x14ac:dyDescent="0.25">
      <c r="A58" t="s">
        <v>62</v>
      </c>
      <c r="B58" t="s">
        <v>114</v>
      </c>
      <c r="C58" t="s">
        <v>118</v>
      </c>
      <c r="D58">
        <v>12</v>
      </c>
      <c r="E58">
        <v>1</v>
      </c>
      <c r="F58">
        <v>901</v>
      </c>
      <c r="G58" t="str">
        <f t="shared" si="2"/>
        <v>Low Risk</v>
      </c>
      <c r="H58">
        <f t="shared" si="3"/>
        <v>10</v>
      </c>
    </row>
    <row r="59" spans="1:8" x14ac:dyDescent="0.25">
      <c r="A59" t="s">
        <v>63</v>
      </c>
      <c r="B59" t="s">
        <v>116</v>
      </c>
      <c r="C59" t="s">
        <v>118</v>
      </c>
      <c r="D59">
        <v>15</v>
      </c>
      <c r="E59">
        <v>1</v>
      </c>
      <c r="F59">
        <v>1156</v>
      </c>
      <c r="G59" t="str">
        <f t="shared" si="2"/>
        <v>Low Risk</v>
      </c>
      <c r="H59">
        <f t="shared" si="3"/>
        <v>10</v>
      </c>
    </row>
    <row r="60" spans="1:8" x14ac:dyDescent="0.25">
      <c r="A60" t="s">
        <v>64</v>
      </c>
      <c r="B60" t="s">
        <v>116</v>
      </c>
      <c r="C60" t="s">
        <v>113</v>
      </c>
      <c r="D60">
        <v>4</v>
      </c>
      <c r="E60">
        <v>4</v>
      </c>
      <c r="F60">
        <v>1508</v>
      </c>
      <c r="G60" t="str">
        <f t="shared" si="2"/>
        <v>Low Risk</v>
      </c>
      <c r="H60">
        <f t="shared" si="3"/>
        <v>10</v>
      </c>
    </row>
    <row r="61" spans="1:8" x14ac:dyDescent="0.25">
      <c r="A61" t="s">
        <v>65</v>
      </c>
      <c r="B61" t="s">
        <v>114</v>
      </c>
      <c r="C61" t="s">
        <v>119</v>
      </c>
      <c r="D61">
        <v>36</v>
      </c>
      <c r="E61">
        <v>4</v>
      </c>
      <c r="F61">
        <v>1261</v>
      </c>
      <c r="G61" t="str">
        <f t="shared" si="2"/>
        <v>Low Risk</v>
      </c>
      <c r="H61">
        <f t="shared" si="3"/>
        <v>10</v>
      </c>
    </row>
    <row r="62" spans="1:8" x14ac:dyDescent="0.25">
      <c r="A62" t="s">
        <v>66</v>
      </c>
      <c r="B62" t="s">
        <v>114</v>
      </c>
      <c r="C62" t="s">
        <v>117</v>
      </c>
      <c r="D62">
        <v>25</v>
      </c>
      <c r="E62">
        <v>2</v>
      </c>
      <c r="F62">
        <v>258</v>
      </c>
      <c r="G62" t="str">
        <f t="shared" si="2"/>
        <v>High Risk</v>
      </c>
      <c r="H62">
        <f t="shared" si="3"/>
        <v>80</v>
      </c>
    </row>
    <row r="63" spans="1:8" x14ac:dyDescent="0.25">
      <c r="A63" t="s">
        <v>67</v>
      </c>
      <c r="B63" t="s">
        <v>114</v>
      </c>
      <c r="C63" t="s">
        <v>118</v>
      </c>
      <c r="D63">
        <v>28</v>
      </c>
      <c r="E63">
        <v>3</v>
      </c>
      <c r="F63">
        <v>1085</v>
      </c>
      <c r="G63" t="str">
        <f t="shared" si="2"/>
        <v>Medium Risk</v>
      </c>
      <c r="H63">
        <f t="shared" si="3"/>
        <v>10</v>
      </c>
    </row>
    <row r="64" spans="1:8" x14ac:dyDescent="0.25">
      <c r="A64" t="s">
        <v>68</v>
      </c>
      <c r="B64" t="s">
        <v>116</v>
      </c>
      <c r="C64" t="s">
        <v>117</v>
      </c>
      <c r="D64">
        <v>62</v>
      </c>
      <c r="E64">
        <v>2</v>
      </c>
      <c r="F64">
        <v>1461</v>
      </c>
      <c r="G64" t="str">
        <f t="shared" si="2"/>
        <v>High Risk</v>
      </c>
      <c r="H64">
        <f t="shared" si="3"/>
        <v>90</v>
      </c>
    </row>
    <row r="65" spans="1:8" x14ac:dyDescent="0.25">
      <c r="A65" t="s">
        <v>69</v>
      </c>
      <c r="B65" t="s">
        <v>115</v>
      </c>
      <c r="C65" t="s">
        <v>113</v>
      </c>
      <c r="D65">
        <v>35</v>
      </c>
      <c r="E65">
        <v>1</v>
      </c>
      <c r="F65">
        <v>1631</v>
      </c>
      <c r="G65" t="str">
        <f t="shared" si="2"/>
        <v>High Risk</v>
      </c>
      <c r="H65">
        <f t="shared" si="3"/>
        <v>100</v>
      </c>
    </row>
    <row r="66" spans="1:8" x14ac:dyDescent="0.25">
      <c r="A66" t="s">
        <v>70</v>
      </c>
      <c r="B66" t="s">
        <v>116</v>
      </c>
      <c r="C66" t="s">
        <v>113</v>
      </c>
      <c r="D66">
        <v>69</v>
      </c>
      <c r="E66">
        <v>4</v>
      </c>
      <c r="F66">
        <v>349</v>
      </c>
      <c r="G66" t="str">
        <f t="shared" ref="G66:G101" si="4">IF(AND(E66&lt;=2, D66&gt;24), "High Risk", IF(OR(E66=3, D66&gt;48), "Medium Risk", "Low Risk"))</f>
        <v>Medium Risk</v>
      </c>
      <c r="H66">
        <f t="shared" ref="H66:H97" si="5">IF(A66="", "", IF(AND(B66="Platinum", G66="High Risk"), 100, IF(AND(B66="Gold", G66="High Risk"), 90, IF(G66="High Risk", 80, IF(G66="Medium", 50, 10)))))</f>
        <v>10</v>
      </c>
    </row>
    <row r="67" spans="1:8" x14ac:dyDescent="0.25">
      <c r="A67" t="s">
        <v>71</v>
      </c>
      <c r="B67" t="s">
        <v>114</v>
      </c>
      <c r="C67" t="s">
        <v>117</v>
      </c>
      <c r="D67">
        <v>18</v>
      </c>
      <c r="E67">
        <v>1</v>
      </c>
      <c r="F67">
        <v>1684</v>
      </c>
      <c r="G67" t="str">
        <f t="shared" si="4"/>
        <v>Low Risk</v>
      </c>
      <c r="H67">
        <f t="shared" si="5"/>
        <v>10</v>
      </c>
    </row>
    <row r="68" spans="1:8" x14ac:dyDescent="0.25">
      <c r="A68" t="s">
        <v>72</v>
      </c>
      <c r="B68" t="s">
        <v>115</v>
      </c>
      <c r="C68" t="s">
        <v>119</v>
      </c>
      <c r="D68">
        <v>14</v>
      </c>
      <c r="E68">
        <v>3</v>
      </c>
      <c r="F68">
        <v>1187</v>
      </c>
      <c r="G68" t="str">
        <f t="shared" si="4"/>
        <v>Medium Risk</v>
      </c>
      <c r="H68">
        <f t="shared" si="5"/>
        <v>10</v>
      </c>
    </row>
    <row r="69" spans="1:8" x14ac:dyDescent="0.25">
      <c r="A69" t="s">
        <v>73</v>
      </c>
      <c r="B69" t="s">
        <v>116</v>
      </c>
      <c r="C69" t="s">
        <v>118</v>
      </c>
      <c r="D69">
        <v>67</v>
      </c>
      <c r="E69">
        <v>3</v>
      </c>
      <c r="F69">
        <v>1649</v>
      </c>
      <c r="G69" t="str">
        <f t="shared" si="4"/>
        <v>Medium Risk</v>
      </c>
      <c r="H69">
        <f t="shared" si="5"/>
        <v>10</v>
      </c>
    </row>
    <row r="70" spans="1:8" x14ac:dyDescent="0.25">
      <c r="A70" t="s">
        <v>74</v>
      </c>
      <c r="B70" t="s">
        <v>114</v>
      </c>
      <c r="C70" t="s">
        <v>113</v>
      </c>
      <c r="D70">
        <v>21</v>
      </c>
      <c r="E70">
        <v>5</v>
      </c>
      <c r="F70">
        <v>753</v>
      </c>
      <c r="G70" t="str">
        <f t="shared" si="4"/>
        <v>Low Risk</v>
      </c>
      <c r="H70">
        <f t="shared" si="5"/>
        <v>10</v>
      </c>
    </row>
    <row r="71" spans="1:8" x14ac:dyDescent="0.25">
      <c r="A71" t="s">
        <v>75</v>
      </c>
      <c r="B71" t="s">
        <v>115</v>
      </c>
      <c r="C71" t="s">
        <v>117</v>
      </c>
      <c r="D71">
        <v>21</v>
      </c>
      <c r="E71">
        <v>5</v>
      </c>
      <c r="F71">
        <v>1113</v>
      </c>
      <c r="G71" t="str">
        <f t="shared" si="4"/>
        <v>Low Risk</v>
      </c>
      <c r="H71">
        <f t="shared" si="5"/>
        <v>10</v>
      </c>
    </row>
    <row r="72" spans="1:8" x14ac:dyDescent="0.25">
      <c r="A72" t="s">
        <v>76</v>
      </c>
      <c r="B72" t="s">
        <v>114</v>
      </c>
      <c r="C72" t="s">
        <v>119</v>
      </c>
      <c r="D72">
        <v>13</v>
      </c>
      <c r="E72">
        <v>4</v>
      </c>
      <c r="F72">
        <v>1213</v>
      </c>
      <c r="G72" t="str">
        <f t="shared" si="4"/>
        <v>Low Risk</v>
      </c>
      <c r="H72">
        <f t="shared" si="5"/>
        <v>10</v>
      </c>
    </row>
    <row r="73" spans="1:8" x14ac:dyDescent="0.25">
      <c r="A73" t="s">
        <v>77</v>
      </c>
      <c r="B73" t="s">
        <v>115</v>
      </c>
      <c r="C73" t="s">
        <v>117</v>
      </c>
      <c r="D73">
        <v>52</v>
      </c>
      <c r="E73">
        <v>1</v>
      </c>
      <c r="F73">
        <v>277</v>
      </c>
      <c r="G73" t="str">
        <f t="shared" si="4"/>
        <v>High Risk</v>
      </c>
      <c r="H73">
        <f t="shared" si="5"/>
        <v>100</v>
      </c>
    </row>
    <row r="74" spans="1:8" x14ac:dyDescent="0.25">
      <c r="A74" t="s">
        <v>78</v>
      </c>
      <c r="B74" t="s">
        <v>116</v>
      </c>
      <c r="C74" t="s">
        <v>119</v>
      </c>
      <c r="D74">
        <v>56</v>
      </c>
      <c r="E74">
        <v>3</v>
      </c>
      <c r="F74">
        <v>1786</v>
      </c>
      <c r="G74" t="str">
        <f t="shared" si="4"/>
        <v>Medium Risk</v>
      </c>
      <c r="H74">
        <f t="shared" si="5"/>
        <v>10</v>
      </c>
    </row>
    <row r="75" spans="1:8" x14ac:dyDescent="0.25">
      <c r="A75" t="s">
        <v>79</v>
      </c>
      <c r="B75" t="s">
        <v>116</v>
      </c>
      <c r="C75" t="s">
        <v>119</v>
      </c>
      <c r="D75">
        <v>26</v>
      </c>
      <c r="E75">
        <v>2</v>
      </c>
      <c r="F75">
        <v>1908</v>
      </c>
      <c r="G75" t="str">
        <f t="shared" si="4"/>
        <v>High Risk</v>
      </c>
      <c r="H75">
        <f t="shared" si="5"/>
        <v>90</v>
      </c>
    </row>
    <row r="76" spans="1:8" x14ac:dyDescent="0.25">
      <c r="A76" t="s">
        <v>80</v>
      </c>
      <c r="B76" t="s">
        <v>115</v>
      </c>
      <c r="C76" t="s">
        <v>118</v>
      </c>
      <c r="D76">
        <v>72</v>
      </c>
      <c r="E76">
        <v>1</v>
      </c>
      <c r="F76">
        <v>230</v>
      </c>
      <c r="G76" t="str">
        <f t="shared" si="4"/>
        <v>High Risk</v>
      </c>
      <c r="H76">
        <f t="shared" si="5"/>
        <v>100</v>
      </c>
    </row>
    <row r="77" spans="1:8" x14ac:dyDescent="0.25">
      <c r="A77" t="s">
        <v>81</v>
      </c>
      <c r="B77" t="s">
        <v>114</v>
      </c>
      <c r="C77" t="s">
        <v>118</v>
      </c>
      <c r="D77">
        <v>28</v>
      </c>
      <c r="E77">
        <v>4</v>
      </c>
      <c r="F77">
        <v>947</v>
      </c>
      <c r="G77" t="str">
        <f t="shared" si="4"/>
        <v>Low Risk</v>
      </c>
      <c r="H77">
        <f t="shared" si="5"/>
        <v>10</v>
      </c>
    </row>
    <row r="78" spans="1:8" x14ac:dyDescent="0.25">
      <c r="A78" t="s">
        <v>82</v>
      </c>
      <c r="B78" t="s">
        <v>115</v>
      </c>
      <c r="C78" t="s">
        <v>117</v>
      </c>
      <c r="D78">
        <v>21</v>
      </c>
      <c r="E78">
        <v>2</v>
      </c>
      <c r="F78">
        <v>1007</v>
      </c>
      <c r="G78" t="str">
        <f t="shared" si="4"/>
        <v>Low Risk</v>
      </c>
      <c r="H78">
        <f t="shared" si="5"/>
        <v>10</v>
      </c>
    </row>
    <row r="79" spans="1:8" x14ac:dyDescent="0.25">
      <c r="A79" t="s">
        <v>83</v>
      </c>
      <c r="B79" t="s">
        <v>115</v>
      </c>
      <c r="C79" t="s">
        <v>118</v>
      </c>
      <c r="D79">
        <v>23</v>
      </c>
      <c r="E79">
        <v>5</v>
      </c>
      <c r="F79">
        <v>175</v>
      </c>
      <c r="G79" t="str">
        <f t="shared" si="4"/>
        <v>Low Risk</v>
      </c>
      <c r="H79">
        <f t="shared" si="5"/>
        <v>10</v>
      </c>
    </row>
    <row r="80" spans="1:8" x14ac:dyDescent="0.25">
      <c r="A80" t="s">
        <v>84</v>
      </c>
      <c r="B80" t="s">
        <v>114</v>
      </c>
      <c r="C80" t="s">
        <v>118</v>
      </c>
      <c r="D80">
        <v>2</v>
      </c>
      <c r="E80">
        <v>1</v>
      </c>
      <c r="F80">
        <v>370</v>
      </c>
      <c r="G80" t="str">
        <f t="shared" si="4"/>
        <v>Low Risk</v>
      </c>
      <c r="H80">
        <f t="shared" si="5"/>
        <v>10</v>
      </c>
    </row>
    <row r="81" spans="1:8" x14ac:dyDescent="0.25">
      <c r="A81" t="s">
        <v>85</v>
      </c>
      <c r="B81" t="s">
        <v>116</v>
      </c>
      <c r="C81" t="s">
        <v>118</v>
      </c>
      <c r="D81">
        <v>71</v>
      </c>
      <c r="E81">
        <v>4</v>
      </c>
      <c r="F81">
        <v>1134</v>
      </c>
      <c r="G81" t="str">
        <f t="shared" si="4"/>
        <v>Medium Risk</v>
      </c>
      <c r="H81">
        <f t="shared" si="5"/>
        <v>10</v>
      </c>
    </row>
    <row r="82" spans="1:8" x14ac:dyDescent="0.25">
      <c r="A82" t="s">
        <v>86</v>
      </c>
      <c r="B82" t="s">
        <v>114</v>
      </c>
      <c r="C82" t="s">
        <v>119</v>
      </c>
      <c r="D82">
        <v>61</v>
      </c>
      <c r="E82">
        <v>1</v>
      </c>
      <c r="F82">
        <v>1775</v>
      </c>
      <c r="G82" t="str">
        <f t="shared" si="4"/>
        <v>High Risk</v>
      </c>
      <c r="H82">
        <f t="shared" si="5"/>
        <v>80</v>
      </c>
    </row>
    <row r="83" spans="1:8" x14ac:dyDescent="0.25">
      <c r="A83" t="s">
        <v>87</v>
      </c>
      <c r="B83" t="s">
        <v>116</v>
      </c>
      <c r="C83" t="s">
        <v>118</v>
      </c>
      <c r="D83">
        <v>22</v>
      </c>
      <c r="E83">
        <v>5</v>
      </c>
      <c r="F83">
        <v>1184</v>
      </c>
      <c r="G83" t="str">
        <f t="shared" si="4"/>
        <v>Low Risk</v>
      </c>
      <c r="H83">
        <f t="shared" si="5"/>
        <v>10</v>
      </c>
    </row>
    <row r="84" spans="1:8" x14ac:dyDescent="0.25">
      <c r="A84" t="s">
        <v>88</v>
      </c>
      <c r="B84" t="s">
        <v>116</v>
      </c>
      <c r="C84" t="s">
        <v>117</v>
      </c>
      <c r="D84">
        <v>62</v>
      </c>
      <c r="E84">
        <v>3</v>
      </c>
      <c r="F84">
        <v>1221</v>
      </c>
      <c r="G84" t="str">
        <f t="shared" si="4"/>
        <v>Medium Risk</v>
      </c>
      <c r="H84">
        <f t="shared" si="5"/>
        <v>10</v>
      </c>
    </row>
    <row r="85" spans="1:8" x14ac:dyDescent="0.25">
      <c r="A85" t="s">
        <v>89</v>
      </c>
      <c r="B85" t="s">
        <v>116</v>
      </c>
      <c r="C85" t="s">
        <v>119</v>
      </c>
      <c r="D85">
        <v>56</v>
      </c>
      <c r="E85">
        <v>3</v>
      </c>
      <c r="F85">
        <v>932</v>
      </c>
      <c r="G85" t="str">
        <f t="shared" si="4"/>
        <v>Medium Risk</v>
      </c>
      <c r="H85">
        <f t="shared" si="5"/>
        <v>10</v>
      </c>
    </row>
    <row r="86" spans="1:8" x14ac:dyDescent="0.25">
      <c r="A86" t="s">
        <v>90</v>
      </c>
      <c r="B86" t="s">
        <v>115</v>
      </c>
      <c r="C86" t="s">
        <v>117</v>
      </c>
      <c r="D86">
        <v>45</v>
      </c>
      <c r="E86">
        <v>2</v>
      </c>
      <c r="F86">
        <v>145</v>
      </c>
      <c r="G86" t="str">
        <f t="shared" si="4"/>
        <v>High Risk</v>
      </c>
      <c r="H86">
        <f t="shared" si="5"/>
        <v>100</v>
      </c>
    </row>
    <row r="87" spans="1:8" x14ac:dyDescent="0.25">
      <c r="A87" t="s">
        <v>91</v>
      </c>
      <c r="B87" t="s">
        <v>115</v>
      </c>
      <c r="C87" t="s">
        <v>117</v>
      </c>
      <c r="D87">
        <v>72</v>
      </c>
      <c r="E87">
        <v>4</v>
      </c>
      <c r="F87">
        <v>511</v>
      </c>
      <c r="G87" t="str">
        <f t="shared" si="4"/>
        <v>Medium Risk</v>
      </c>
      <c r="H87">
        <f t="shared" si="5"/>
        <v>10</v>
      </c>
    </row>
    <row r="88" spans="1:8" x14ac:dyDescent="0.25">
      <c r="A88" t="s">
        <v>92</v>
      </c>
      <c r="B88" t="s">
        <v>115</v>
      </c>
      <c r="C88" t="s">
        <v>119</v>
      </c>
      <c r="D88">
        <v>24</v>
      </c>
      <c r="E88">
        <v>1</v>
      </c>
      <c r="F88">
        <v>1198</v>
      </c>
      <c r="G88" t="str">
        <f t="shared" si="4"/>
        <v>Low Risk</v>
      </c>
      <c r="H88">
        <f t="shared" si="5"/>
        <v>10</v>
      </c>
    </row>
    <row r="89" spans="1:8" x14ac:dyDescent="0.25">
      <c r="A89" t="s">
        <v>93</v>
      </c>
      <c r="B89" t="s">
        <v>115</v>
      </c>
      <c r="C89" t="s">
        <v>113</v>
      </c>
      <c r="D89">
        <v>36</v>
      </c>
      <c r="E89">
        <v>4</v>
      </c>
      <c r="F89">
        <v>1663</v>
      </c>
      <c r="G89" t="str">
        <f t="shared" si="4"/>
        <v>Low Risk</v>
      </c>
      <c r="H89">
        <f t="shared" si="5"/>
        <v>10</v>
      </c>
    </row>
    <row r="90" spans="1:8" x14ac:dyDescent="0.25">
      <c r="A90" t="s">
        <v>94</v>
      </c>
      <c r="B90" t="s">
        <v>115</v>
      </c>
      <c r="C90" t="s">
        <v>119</v>
      </c>
      <c r="D90">
        <v>37</v>
      </c>
      <c r="E90">
        <v>2</v>
      </c>
      <c r="F90">
        <v>125</v>
      </c>
      <c r="G90" t="str">
        <f t="shared" si="4"/>
        <v>High Risk</v>
      </c>
      <c r="H90">
        <f t="shared" si="5"/>
        <v>100</v>
      </c>
    </row>
    <row r="91" spans="1:8" x14ac:dyDescent="0.25">
      <c r="A91" t="s">
        <v>95</v>
      </c>
      <c r="B91" t="s">
        <v>114</v>
      </c>
      <c r="C91" t="s">
        <v>119</v>
      </c>
      <c r="D91">
        <v>14</v>
      </c>
      <c r="E91">
        <v>2</v>
      </c>
      <c r="F91">
        <v>979</v>
      </c>
      <c r="G91" t="str">
        <f t="shared" si="4"/>
        <v>Low Risk</v>
      </c>
      <c r="H91">
        <f t="shared" si="5"/>
        <v>10</v>
      </c>
    </row>
    <row r="92" spans="1:8" x14ac:dyDescent="0.25">
      <c r="A92" t="s">
        <v>96</v>
      </c>
      <c r="B92" t="s">
        <v>116</v>
      </c>
      <c r="C92" t="s">
        <v>113</v>
      </c>
      <c r="D92">
        <v>19</v>
      </c>
      <c r="E92">
        <v>1</v>
      </c>
      <c r="F92">
        <v>769</v>
      </c>
      <c r="G92" t="str">
        <f t="shared" si="4"/>
        <v>Low Risk</v>
      </c>
      <c r="H92">
        <f t="shared" si="5"/>
        <v>10</v>
      </c>
    </row>
    <row r="93" spans="1:8" x14ac:dyDescent="0.25">
      <c r="A93" t="s">
        <v>97</v>
      </c>
      <c r="B93" t="s">
        <v>116</v>
      </c>
      <c r="C93" t="s">
        <v>118</v>
      </c>
      <c r="D93">
        <v>67</v>
      </c>
      <c r="E93">
        <v>4</v>
      </c>
      <c r="F93">
        <v>1854</v>
      </c>
      <c r="G93" t="str">
        <f t="shared" si="4"/>
        <v>Medium Risk</v>
      </c>
      <c r="H93">
        <f t="shared" si="5"/>
        <v>10</v>
      </c>
    </row>
    <row r="94" spans="1:8" ht="16.5" customHeight="1" x14ac:dyDescent="0.25">
      <c r="A94" t="s">
        <v>98</v>
      </c>
      <c r="B94" t="s">
        <v>115</v>
      </c>
      <c r="C94" t="s">
        <v>117</v>
      </c>
      <c r="D94">
        <v>68</v>
      </c>
      <c r="E94">
        <v>5</v>
      </c>
      <c r="F94">
        <v>192</v>
      </c>
      <c r="G94" t="str">
        <f t="shared" si="4"/>
        <v>Medium Risk</v>
      </c>
      <c r="H94">
        <f t="shared" si="5"/>
        <v>10</v>
      </c>
    </row>
    <row r="95" spans="1:8" x14ac:dyDescent="0.25">
      <c r="A95" t="s">
        <v>99</v>
      </c>
      <c r="B95" t="s">
        <v>116</v>
      </c>
      <c r="C95" t="s">
        <v>118</v>
      </c>
      <c r="D95">
        <v>38</v>
      </c>
      <c r="E95">
        <v>1</v>
      </c>
      <c r="F95">
        <v>822</v>
      </c>
      <c r="G95" t="str">
        <f t="shared" si="4"/>
        <v>High Risk</v>
      </c>
      <c r="H95">
        <f t="shared" si="5"/>
        <v>90</v>
      </c>
    </row>
    <row r="96" spans="1:8" x14ac:dyDescent="0.25">
      <c r="A96" t="s">
        <v>100</v>
      </c>
      <c r="B96" t="s">
        <v>115</v>
      </c>
      <c r="C96" t="s">
        <v>113</v>
      </c>
      <c r="D96">
        <v>57</v>
      </c>
      <c r="E96">
        <v>4</v>
      </c>
      <c r="F96">
        <v>1391</v>
      </c>
      <c r="G96" t="str">
        <f t="shared" si="4"/>
        <v>Medium Risk</v>
      </c>
      <c r="H96">
        <f t="shared" si="5"/>
        <v>10</v>
      </c>
    </row>
    <row r="97" spans="1:8" x14ac:dyDescent="0.25">
      <c r="A97" t="s">
        <v>101</v>
      </c>
      <c r="B97" t="s">
        <v>116</v>
      </c>
      <c r="C97" t="s">
        <v>118</v>
      </c>
      <c r="D97">
        <v>36</v>
      </c>
      <c r="E97">
        <v>4</v>
      </c>
      <c r="F97">
        <v>1624</v>
      </c>
      <c r="G97" t="str">
        <f t="shared" si="4"/>
        <v>Low Risk</v>
      </c>
      <c r="H97">
        <f t="shared" si="5"/>
        <v>10</v>
      </c>
    </row>
    <row r="98" spans="1:8" x14ac:dyDescent="0.25">
      <c r="A98" t="s">
        <v>102</v>
      </c>
      <c r="B98" t="s">
        <v>115</v>
      </c>
      <c r="C98" t="s">
        <v>113</v>
      </c>
      <c r="D98">
        <v>55</v>
      </c>
      <c r="E98">
        <v>3</v>
      </c>
      <c r="F98">
        <v>429</v>
      </c>
      <c r="G98" t="str">
        <f t="shared" si="4"/>
        <v>Medium Risk</v>
      </c>
      <c r="H98">
        <f t="shared" ref="H98:H101" si="6">IF(A98="", "", IF(AND(B98="Platinum", G98="High Risk"), 100, IF(AND(B98="Gold", G98="High Risk"), 90, IF(G98="High Risk", 80, IF(G98="Medium", 50, 10)))))</f>
        <v>10</v>
      </c>
    </row>
    <row r="99" spans="1:8" x14ac:dyDescent="0.25">
      <c r="A99" t="s">
        <v>103</v>
      </c>
      <c r="B99" t="s">
        <v>114</v>
      </c>
      <c r="C99" t="s">
        <v>117</v>
      </c>
      <c r="D99">
        <v>13</v>
      </c>
      <c r="E99">
        <v>2</v>
      </c>
      <c r="F99">
        <v>1604</v>
      </c>
      <c r="G99" t="str">
        <f t="shared" si="4"/>
        <v>Low Risk</v>
      </c>
      <c r="H99">
        <f t="shared" si="6"/>
        <v>10</v>
      </c>
    </row>
    <row r="100" spans="1:8" x14ac:dyDescent="0.25">
      <c r="A100" t="s">
        <v>104</v>
      </c>
      <c r="B100" t="s">
        <v>114</v>
      </c>
      <c r="C100" t="s">
        <v>117</v>
      </c>
      <c r="D100">
        <v>70</v>
      </c>
      <c r="E100">
        <v>4</v>
      </c>
      <c r="F100">
        <v>337</v>
      </c>
      <c r="G100" t="str">
        <f t="shared" si="4"/>
        <v>Medium Risk</v>
      </c>
      <c r="H100">
        <f t="shared" si="6"/>
        <v>10</v>
      </c>
    </row>
    <row r="101" spans="1:8" x14ac:dyDescent="0.25">
      <c r="A101" t="s">
        <v>105</v>
      </c>
      <c r="B101" t="s">
        <v>115</v>
      </c>
      <c r="C101" t="s">
        <v>118</v>
      </c>
      <c r="D101">
        <v>61</v>
      </c>
      <c r="E101">
        <v>2</v>
      </c>
      <c r="F101">
        <v>1179</v>
      </c>
      <c r="G101" t="str">
        <f t="shared" si="4"/>
        <v>High Risk</v>
      </c>
      <c r="H101">
        <f t="shared" si="6"/>
        <v>100</v>
      </c>
    </row>
  </sheetData>
  <phoneticPr fontId="1" type="noConversion"/>
  <conditionalFormatting sqref="H1:H1048576">
    <cfRule type="dataBar" priority="1">
      <dataBar>
        <cfvo type="min"/>
        <cfvo type="max"/>
        <color rgb="FFFFB628"/>
      </dataBar>
      <extLst>
        <ext xmlns:x14="http://schemas.microsoft.com/office/spreadsheetml/2009/9/main" uri="{B025F937-C7B1-47D3-B67F-A62EFF666E3E}">
          <x14:id>{04E9BA9B-352A-4D83-B6FD-B94CFF3AA9EE}</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4E9BA9B-352A-4D83-B6FD-B94CFF3AA9EE}">
            <x14:dataBar minLength="0" maxLength="100" gradient="0">
              <x14:cfvo type="autoMin"/>
              <x14:cfvo type="autoMax"/>
              <x14:negativeFillColor rgb="FFFF0000"/>
              <x14:axisColor rgb="FF000000"/>
            </x14:dataBar>
          </x14:cfRule>
          <xm:sqref>H1:H1048576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6857A-4722-4C32-86F0-52ED0C834809}">
  <dimension ref="B3:C18"/>
  <sheetViews>
    <sheetView workbookViewId="0">
      <selection activeCell="C5" sqref="C5"/>
    </sheetView>
  </sheetViews>
  <sheetFormatPr defaultRowHeight="15" x14ac:dyDescent="0.25"/>
  <cols>
    <col min="1" max="2" width="13.140625" bestFit="1" customWidth="1"/>
    <col min="3" max="3" width="21.7109375" bestFit="1" customWidth="1"/>
    <col min="5" max="5" width="13.140625" bestFit="1" customWidth="1"/>
    <col min="6" max="6" width="27.28515625" bestFit="1" customWidth="1"/>
  </cols>
  <sheetData>
    <row r="3" spans="2:3" x14ac:dyDescent="0.25">
      <c r="B3" s="1" t="s">
        <v>107</v>
      </c>
      <c r="C3" t="s">
        <v>111</v>
      </c>
    </row>
    <row r="4" spans="2:3" x14ac:dyDescent="0.25">
      <c r="B4" s="2" t="s">
        <v>120</v>
      </c>
      <c r="C4" s="3">
        <v>35575</v>
      </c>
    </row>
    <row r="5" spans="2:3" x14ac:dyDescent="0.25">
      <c r="B5" s="2" t="s">
        <v>108</v>
      </c>
      <c r="C5" s="3">
        <v>45246</v>
      </c>
    </row>
    <row r="6" spans="2:3" x14ac:dyDescent="0.25">
      <c r="B6" s="2" t="s">
        <v>109</v>
      </c>
      <c r="C6" s="3">
        <v>32082</v>
      </c>
    </row>
    <row r="7" spans="2:3" x14ac:dyDescent="0.25">
      <c r="B7" s="2" t="s">
        <v>110</v>
      </c>
      <c r="C7" s="3">
        <v>112903</v>
      </c>
    </row>
    <row r="13" spans="2:3" x14ac:dyDescent="0.25">
      <c r="B13" s="1" t="s">
        <v>107</v>
      </c>
      <c r="C13" t="s">
        <v>112</v>
      </c>
    </row>
    <row r="14" spans="2:3" x14ac:dyDescent="0.25">
      <c r="B14" s="2" t="s">
        <v>118</v>
      </c>
      <c r="C14">
        <v>36.5</v>
      </c>
    </row>
    <row r="15" spans="2:3" x14ac:dyDescent="0.25">
      <c r="B15" s="2" t="s">
        <v>117</v>
      </c>
      <c r="C15">
        <v>38.666666666666664</v>
      </c>
    </row>
    <row r="16" spans="2:3" x14ac:dyDescent="0.25">
      <c r="B16" s="2" t="s">
        <v>119</v>
      </c>
      <c r="C16">
        <v>34.76</v>
      </c>
    </row>
    <row r="17" spans="2:3" x14ac:dyDescent="0.25">
      <c r="B17" s="2" t="s">
        <v>113</v>
      </c>
      <c r="C17">
        <v>43.65</v>
      </c>
    </row>
    <row r="18" spans="2:3" x14ac:dyDescent="0.25">
      <c r="B18" s="2" t="s">
        <v>110</v>
      </c>
      <c r="C18">
        <v>38.08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3417-AFA2-4FB7-A1B3-821A9E1F23F4}">
  <dimension ref="A1"/>
  <sheetViews>
    <sheetView showGridLines="0" workbookViewId="0">
      <selection activeCell="H19" sqref="H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Data</vt:lpstr>
      <vt:lpstr>Dashboard_Calc</vt:lpstr>
      <vt:lpstr>Executive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Nagar</dc:creator>
  <cp:lastModifiedBy>Mohit Nagar</cp:lastModifiedBy>
  <cp:lastPrinted>2026-02-03T12:29:23Z</cp:lastPrinted>
  <dcterms:created xsi:type="dcterms:W3CDTF">2026-02-03T10:23:21Z</dcterms:created>
  <dcterms:modified xsi:type="dcterms:W3CDTF">2026-02-10T10:54:56Z</dcterms:modified>
</cp:coreProperties>
</file>